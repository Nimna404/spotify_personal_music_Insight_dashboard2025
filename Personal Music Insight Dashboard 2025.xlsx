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E:\s23002167\Data Analytics\Projects\"/>
    </mc:Choice>
  </mc:AlternateContent>
  <xr:revisionPtr revIDLastSave="0" documentId="13_ncr:1_{496E05F0-624B-49A3-AD4D-524FDAE43017}" xr6:coauthVersionLast="47" xr6:coauthVersionMax="47" xr10:uidLastSave="{00000000-0000-0000-0000-000000000000}"/>
  <bookViews>
    <workbookView xWindow="-108" yWindow="-108" windowWidth="23256" windowHeight="12456" activeTab="2" xr2:uid="{56967347-B9E2-46F7-883E-6A584053ED9D}"/>
  </bookViews>
  <sheets>
    <sheet name="Top_Tracks_of_2025_Global" sheetId="1" r:id="rId1"/>
    <sheet name="Danceability vs Energy" sheetId="2" r:id="rId2"/>
    <sheet name="Summary" sheetId="6" r:id="rId3"/>
  </sheets>
  <definedNames>
    <definedName name="_xlnm._FilterDatabase" localSheetId="0" hidden="1">Top_Tracks_of_2025_Global!$A$1:$W$51</definedName>
    <definedName name="Slicer_Dance_Vibe">#N/A</definedName>
    <definedName name="Slicer_Tempo_Vib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2" i="1"/>
  <c r="Q10" i="6"/>
  <c r="C10" i="6"/>
  <c r="I10" i="6"/>
</calcChain>
</file>

<file path=xl/sharedStrings.xml><?xml version="1.0" encoding="utf-8"?>
<sst xmlns="http://schemas.openxmlformats.org/spreadsheetml/2006/main" count="537" uniqueCount="267">
  <si>
    <t>Track URI</t>
  </si>
  <si>
    <t>Track Name</t>
  </si>
  <si>
    <t>Album Name</t>
  </si>
  <si>
    <t>Artist Name(s)</t>
  </si>
  <si>
    <t>Release Date</t>
  </si>
  <si>
    <t>Duration (ms)</t>
  </si>
  <si>
    <t>Popularity</t>
  </si>
  <si>
    <t>Explicit</t>
  </si>
  <si>
    <t>Added At</t>
  </si>
  <si>
    <t>Genres</t>
  </si>
  <si>
    <t>Record Label</t>
  </si>
  <si>
    <t>Danceability</t>
  </si>
  <si>
    <t>Energy</t>
  </si>
  <si>
    <t>Key</t>
  </si>
  <si>
    <t>Loudness</t>
  </si>
  <si>
    <t>Mode</t>
  </si>
  <si>
    <t>Speechiness</t>
  </si>
  <si>
    <t>Acousticness</t>
  </si>
  <si>
    <t>Instrumentalness</t>
  </si>
  <si>
    <t>Liveness</t>
  </si>
  <si>
    <t>Valence</t>
  </si>
  <si>
    <t>Tempo</t>
  </si>
  <si>
    <t>Time Signature</t>
  </si>
  <si>
    <t>spotify:track:7so0lgd0zP2Sbgs2d7a1SZ</t>
  </si>
  <si>
    <t>Die With A Smile</t>
  </si>
  <si>
    <t>MAYHEM</t>
  </si>
  <si>
    <t>Lady Gaga;Bruno Mars</t>
  </si>
  <si>
    <t>2025-12-03T12:16:11Z</t>
  </si>
  <si>
    <t>art pop,pop</t>
  </si>
  <si>
    <t>Interscope Records</t>
  </si>
  <si>
    <t>spotify:track:6dOtVTDdiauQNBQEDOtlAB</t>
  </si>
  <si>
    <t>BIRDS OF A FEATHER</t>
  </si>
  <si>
    <t>HIT ME HARD AND SOFT</t>
  </si>
  <si>
    <t>Billie Eilish</t>
  </si>
  <si>
    <t>2024-12-04T12:15:00Z</t>
  </si>
  <si>
    <t>Darkroom/Interscope Records</t>
  </si>
  <si>
    <t>spotify:track:4wJ5Qq0jBN4ajy7ouZIV1c</t>
  </si>
  <si>
    <t>APT.</t>
  </si>
  <si>
    <t>rosie</t>
  </si>
  <si>
    <t>ROSÉ;Bruno Mars</t>
  </si>
  <si>
    <t>k-pop</t>
  </si>
  <si>
    <t>Atlantic Records</t>
  </si>
  <si>
    <t>spotify:track:2RkZ5LkEzeHGRsmDqKwmaJ</t>
  </si>
  <si>
    <t>Ordinary</t>
  </si>
  <si>
    <t>You'll Be Alright, Kid (Chapter 1)</t>
  </si>
  <si>
    <t>Alex Warren</t>
  </si>
  <si>
    <t>spotify:track:3sK8wGT43QFpWrvNQsrQya</t>
  </si>
  <si>
    <t>DtMF</t>
  </si>
  <si>
    <t>DeBÍ TiRAR MáS FOToS</t>
  </si>
  <si>
    <t>Bad Bunny</t>
  </si>
  <si>
    <t>reggaeton,trap latino,latin,urbano latino</t>
  </si>
  <si>
    <t>Rimas Entertainment LLC.</t>
  </si>
  <si>
    <t>spotify:track:7qjZnBKE73H4Oxkopwulqe</t>
  </si>
  <si>
    <t>back to friends</t>
  </si>
  <si>
    <t>I Barely Know Her</t>
  </si>
  <si>
    <t>sombr</t>
  </si>
  <si>
    <t>Warner Records</t>
  </si>
  <si>
    <t>spotify:track:1CPZ5BxNNd0n0nF4Orb9JS</t>
  </si>
  <si>
    <t>Golden</t>
  </si>
  <si>
    <t>KPop Demon Hunters (Soundtrack from the Netflix Film)</t>
  </si>
  <si>
    <t>HUNTR/X;EJAE;AUDREY NUNA;REI AMI;KPop Demon Hunters Cast</t>
  </si>
  <si>
    <t>K-Pop Demon Hunters</t>
  </si>
  <si>
    <t>spotify:track:2CGNAOSuO1MEFCbBRgUzjd</t>
  </si>
  <si>
    <t>luther (with sza)</t>
  </si>
  <si>
    <t>GNX</t>
  </si>
  <si>
    <t>Kendrick Lamar;SZA</t>
  </si>
  <si>
    <t>hip hop,west coast hip hop,r&amp;b</t>
  </si>
  <si>
    <t>pgLang, under exclusive license to Interscope Records</t>
  </si>
  <si>
    <t>spotify:track:7ne4VBA60CxGM75vw0EYad</t>
  </si>
  <si>
    <t>That’s So True</t>
  </si>
  <si>
    <t>The Secret of Us (Deluxe)</t>
  </si>
  <si>
    <t>Gracie Abrams</t>
  </si>
  <si>
    <t>Gracie Abrams, under exclusive license to Interscope Records</t>
  </si>
  <si>
    <t>spotify:track:3QaPy1KgI7nu9FJEQUgn6h</t>
  </si>
  <si>
    <t>WILDFLOWER</t>
  </si>
  <si>
    <t>spotify:track:21IYMdzTrzSe191Cy5eMap</t>
  </si>
  <si>
    <t>Sailor Song</t>
  </si>
  <si>
    <t>At The Beach, In Every Life</t>
  </si>
  <si>
    <t>Gigi Perez</t>
  </si>
  <si>
    <t>Outtahere, LLC / Island Records</t>
  </si>
  <si>
    <t>spotify:track:2lTm559tuIvatlT1u0JYG2</t>
  </si>
  <si>
    <t>BAILE INoLVIDABLE</t>
  </si>
  <si>
    <t>spotify:track:3xkHsmpQCBMytMJNiDf3Ii</t>
  </si>
  <si>
    <t>Beautiful Things</t>
  </si>
  <si>
    <t>Fireworks &amp; Rollerblades</t>
  </si>
  <si>
    <t>Benson Boone</t>
  </si>
  <si>
    <t>Night Street Records, Inc./Warner Records Inc.</t>
  </si>
  <si>
    <t>spotify:track:2HRqTpkrJO5ggZyyK6NPWz</t>
  </si>
  <si>
    <t>Espresso</t>
  </si>
  <si>
    <t>Short n' Sweet</t>
  </si>
  <si>
    <t>Sabrina Carpenter</t>
  </si>
  <si>
    <t>pop</t>
  </si>
  <si>
    <t>Island Records</t>
  </si>
  <si>
    <t>spotify:track:0FIDCNYYjNvPVimz5icugS</t>
  </si>
  <si>
    <t>Timeless (feat Playboi Carti)</t>
  </si>
  <si>
    <t>Hurry Up Tomorrow</t>
  </si>
  <si>
    <t>The Weeknd;Playboi Carti</t>
  </si>
  <si>
    <t>rage rap</t>
  </si>
  <si>
    <t>XO / Republic Records</t>
  </si>
  <si>
    <t>spotify:track:35ISBknsCeZQtq66xABI9g</t>
  </si>
  <si>
    <t>Messy</t>
  </si>
  <si>
    <t>This Wasn't Meant For You Anyway</t>
  </si>
  <si>
    <t>Lola Young</t>
  </si>
  <si>
    <t>Universal-Island Records Ltd.</t>
  </si>
  <si>
    <t>spotify:track:6Qyc6fS4DsZjB2mRW9DsQs</t>
  </si>
  <si>
    <t>Iris</t>
  </si>
  <si>
    <t>Dizzy up the Girl</t>
  </si>
  <si>
    <t>The Goo Goo Dolls</t>
  </si>
  <si>
    <t>spotify:track:6iOndD4OFo7GkaDypWQIou</t>
  </si>
  <si>
    <t>La Plena - W Sound 05</t>
  </si>
  <si>
    <t>La Plena (W Sound 05)</t>
  </si>
  <si>
    <t>W Sound;Beéle;Ovy On The Drums</t>
  </si>
  <si>
    <t>latin afrobeats,reggaeton</t>
  </si>
  <si>
    <t>WEA Latina</t>
  </si>
  <si>
    <t>spotify:track:3GCdLUSnKSMJhs4Tj6CV3s</t>
  </si>
  <si>
    <t>All The Stars (with SZA) - From "Black Panther: The Album"</t>
  </si>
  <si>
    <t>Black Panther The Album Music From And Inspired By</t>
  </si>
  <si>
    <t>Black Panther (TDE/DMG) PS</t>
  </si>
  <si>
    <t>spotify:track:5yJaXWIErrrsjQ3J0eR5aK</t>
  </si>
  <si>
    <t>The Night We Met</t>
  </si>
  <si>
    <t>Strange Trails</t>
  </si>
  <si>
    <t>Lord Huron</t>
  </si>
  <si>
    <t>spotify:track:7CyPwkp0oE8Ro9Dd5CUDjW</t>
  </si>
  <si>
    <t>One Of The Girls (with JENNIE, Lily Rose Depp)</t>
  </si>
  <si>
    <t>The Idol Episode 4 (Music from the HBO Original Series)</t>
  </si>
  <si>
    <t>The Weeknd;JENNIE;Lily-Rose Depp</t>
  </si>
  <si>
    <t>spotify:track:5TFD2bmFKGhoCRbX61nXY5</t>
  </si>
  <si>
    <t>NUEVAYoL</t>
  </si>
  <si>
    <t>spotify:track:17phhZDn6oGtzMe56NuWvj</t>
  </si>
  <si>
    <t>Lose Control</t>
  </si>
  <si>
    <t>I've Tried Everything But Therapy (Part 1)</t>
  </si>
  <si>
    <t>Teddy Swims</t>
  </si>
  <si>
    <t>spotify:track:0WbMK4wrZ1wFSty9F7FCgu</t>
  </si>
  <si>
    <t>Good Luck, Babe!</t>
  </si>
  <si>
    <t>Chappell Roan</t>
  </si>
  <si>
    <t>Chappell Roan PS/ Island</t>
  </si>
  <si>
    <t>spotify:track:6AI3ezQ4o3HUoP6Dhudph3</t>
  </si>
  <si>
    <t>Not Like Us</t>
  </si>
  <si>
    <t>Kendrick Lamar</t>
  </si>
  <si>
    <t>hip hop,west coast hip hop</t>
  </si>
  <si>
    <t>Kendrick Lamar, under exclusive license to Interscope Records</t>
  </si>
  <si>
    <t>spotify:track:7tI8dRuH2Yc6RuoTjxo4dU</t>
  </si>
  <si>
    <t>Who</t>
  </si>
  <si>
    <t>MUSE</t>
  </si>
  <si>
    <t>Jimin</t>
  </si>
  <si>
    <t>BIGHIT MUSIC</t>
  </si>
  <si>
    <t>spotify:track:2QjOHCTQ1Jl3zawyYOpxh6</t>
  </si>
  <si>
    <t>Sweater Weather</t>
  </si>
  <si>
    <t>I Love You.</t>
  </si>
  <si>
    <t>The Neighbourhood</t>
  </si>
  <si>
    <t>Columbia</t>
  </si>
  <si>
    <t>spotify:track:5XeFesFbtLpXzIVDNQP22n</t>
  </si>
  <si>
    <t>I Wanna Be Yours</t>
  </si>
  <si>
    <t>AM</t>
  </si>
  <si>
    <t>Arctic Monkeys</t>
  </si>
  <si>
    <t>2023-11-29T12:16:00Z</t>
  </si>
  <si>
    <t>indie,garage rock</t>
  </si>
  <si>
    <t>Domino Recording Co</t>
  </si>
  <si>
    <t>spotify:track:4WFgvKVfEhb3IUAFGrutTR</t>
  </si>
  <si>
    <t>Love Me Not</t>
  </si>
  <si>
    <t>Bird's Eye</t>
  </si>
  <si>
    <t>Ravyn Lenae</t>
  </si>
  <si>
    <t>alternative r&amp;b,indie soul</t>
  </si>
  <si>
    <t>spotify:track:6J5kc12BW5HuP3d7C3vvx8</t>
  </si>
  <si>
    <t>EoO</t>
  </si>
  <si>
    <t>spotify:track:3AJwUDP919kvQ9QcozQPxg</t>
  </si>
  <si>
    <t>Yellow</t>
  </si>
  <si>
    <t>Parachutes</t>
  </si>
  <si>
    <t>Coldplay</t>
  </si>
  <si>
    <t>Parlophone UK</t>
  </si>
  <si>
    <t>spotify:track:1JSTJqkT5qHq8MDJnJbRE1</t>
  </si>
  <si>
    <t>Every Breath You Take</t>
  </si>
  <si>
    <t>Synchronicity (Remastered 2003)</t>
  </si>
  <si>
    <t>The Police</t>
  </si>
  <si>
    <t>Polydor Records</t>
  </si>
  <si>
    <t>spotify:track:59D4DOkspUbWyMmbAPQkxZ</t>
  </si>
  <si>
    <t>VOY A LLeVARTE PA PR</t>
  </si>
  <si>
    <t>spotify:track:73scB4Q4fcOmnsBVZPmk32</t>
  </si>
  <si>
    <t>Si Antes Te Hubiera Conocido</t>
  </si>
  <si>
    <t>Tropicoqueta</t>
  </si>
  <si>
    <t>KAROL G</t>
  </si>
  <si>
    <t>reggaeton,latin,urbano latino</t>
  </si>
  <si>
    <t>Bichota/Interscope Records</t>
  </si>
  <si>
    <t>spotify:track:6393yGahSJ9slVdOwSxOVR</t>
  </si>
  <si>
    <t>Pink Pony Club</t>
  </si>
  <si>
    <t>The Rise and Fall of a Midwest Princess</t>
  </si>
  <si>
    <t>spotify:track:0TFTAtCYhp2tQ9KcJIZb55</t>
  </si>
  <si>
    <t>undressed</t>
  </si>
  <si>
    <t>spotify:track:3siwsiaEoU4Kuuc9WKMUy5</t>
  </si>
  <si>
    <t>No One Noticed</t>
  </si>
  <si>
    <t>Submarine</t>
  </si>
  <si>
    <t>The Marías</t>
  </si>
  <si>
    <t>bedroom pop</t>
  </si>
  <si>
    <t>Nice Life/Atlantic</t>
  </si>
  <si>
    <t>spotify:track:2LHNTC9QZxsL3nWpt8iaSR</t>
  </si>
  <si>
    <t>Abracadabra</t>
  </si>
  <si>
    <t>Lady Gaga</t>
  </si>
  <si>
    <t>spotify:track:7d6yK8v8J484SWH5prIQiE</t>
  </si>
  <si>
    <t>VeLDÁ</t>
  </si>
  <si>
    <t>Bad Bunny;Omar Courtz;Dei V</t>
  </si>
  <si>
    <t>spotify:track:5UJbgR4XF4y1DvbkxEqe8S</t>
  </si>
  <si>
    <t>Sports car</t>
  </si>
  <si>
    <t>So Close To What</t>
  </si>
  <si>
    <t>Tate McRae</t>
  </si>
  <si>
    <t>RCA Records Label</t>
  </si>
  <si>
    <t>spotify:track:7KA4W4McWYRpgf0fWsJZWB</t>
  </si>
  <si>
    <t>See You Again (feat. Kali Uchis)</t>
  </si>
  <si>
    <t>Flower Boy</t>
  </si>
  <si>
    <t>Tyler, The Creator;Kali Uchis</t>
  </si>
  <si>
    <t>spotify:track:27xkOIER6uDLKALIelHylZ</t>
  </si>
  <si>
    <t>Don’t Say You Love Me</t>
  </si>
  <si>
    <t>Echo</t>
  </si>
  <si>
    <t>Jin</t>
  </si>
  <si>
    <t>spotify:track:0fK7ie6XwGxQTIkpFoWkd1</t>
  </si>
  <si>
    <t>like JENNIE</t>
  </si>
  <si>
    <t>Ruby</t>
  </si>
  <si>
    <t>JENNIE</t>
  </si>
  <si>
    <t>OA Entertainment/Columbia</t>
  </si>
  <si>
    <t>spotify:track:5G2f63n7IPVPPjfNIGih7Q</t>
  </si>
  <si>
    <t>Taste</t>
  </si>
  <si>
    <t>spotify:track:0aB0v4027ukVziUGwVGYpG</t>
  </si>
  <si>
    <t>tv off (feat. lefty gunplay)</t>
  </si>
  <si>
    <t>Kendrick Lamar;Lefty Gunplay</t>
  </si>
  <si>
    <t>hip hop,west coast hip hop,mexican hip hop</t>
  </si>
  <si>
    <t>spotify:track:70LcF31zb1H0PyJoS1Sx1r</t>
  </si>
  <si>
    <t>Creep</t>
  </si>
  <si>
    <t>Pablo Honey</t>
  </si>
  <si>
    <t>Radiohead</t>
  </si>
  <si>
    <t>art rock,alternative rock</t>
  </si>
  <si>
    <t>XL Recordings</t>
  </si>
  <si>
    <t>spotify:track:2dd3G3ZqEcG2cNS1tp3oEk</t>
  </si>
  <si>
    <t>capaz (merengueton)</t>
  </si>
  <si>
    <t>LA CIUDAD</t>
  </si>
  <si>
    <t>Alleh;Yorghaki</t>
  </si>
  <si>
    <t>La Ciudad</t>
  </si>
  <si>
    <t>spotify:track:0l0vcZMU7AOeQmUIREoI2U</t>
  </si>
  <si>
    <t>Qué Pasaría...</t>
  </si>
  <si>
    <t>Cosa Nuestra</t>
  </si>
  <si>
    <t>Rauw Alejandro;Bad Bunny</t>
  </si>
  <si>
    <t>reggaeton,trap latino,urbano latino,latin</t>
  </si>
  <si>
    <t>Sony Music Latin/Duars Entertainment</t>
  </si>
  <si>
    <t>spotify:track:6W614n8yLUeS3zsZSeBwyq</t>
  </si>
  <si>
    <t>blue</t>
  </si>
  <si>
    <t>stay with the ocean, i'll find you</t>
  </si>
  <si>
    <t>yung kai</t>
  </si>
  <si>
    <t>BMG Rights Management (US) LLC</t>
  </si>
  <si>
    <t>spotify:track:51ZQ1vr10ffzbwIjDCwqm4</t>
  </si>
  <si>
    <t>we can't be friends (wait for your love)</t>
  </si>
  <si>
    <t>eternal sunshine</t>
  </si>
  <si>
    <t>Ariana Grande</t>
  </si>
  <si>
    <t>Republic Records</t>
  </si>
  <si>
    <t>Row Labels</t>
  </si>
  <si>
    <t>Grand Total</t>
  </si>
  <si>
    <t>Sum of Energy</t>
  </si>
  <si>
    <t>Average of Tempo</t>
  </si>
  <si>
    <t>Average of Danceability</t>
  </si>
  <si>
    <t>Tempo Vibe</t>
  </si>
  <si>
    <t>Dance Vibe</t>
  </si>
  <si>
    <t>Average Playlist BPM</t>
  </si>
  <si>
    <t>Chill 🛋️</t>
  </si>
  <si>
    <t>Fast 🏃‍♂️</t>
  </si>
  <si>
    <t>Count of Tempo Vibe</t>
  </si>
  <si>
    <t>Count of Track Name</t>
  </si>
  <si>
    <t>Total Tracks</t>
  </si>
  <si>
    <t>PERSONAL MUSIC INSIGHTS DASHBOARD | 2024-2025</t>
  </si>
  <si>
    <t>Average of Energy</t>
  </si>
  <si>
    <t>Average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</si>
</sst>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0"/>
      <name val="Segoe UI Black"/>
      <family val="2"/>
    </font>
    <font>
      <b/>
      <sz val="36"/>
      <color theme="0"/>
      <name val="Segoe UI Semibold"/>
      <family val="2"/>
    </font>
    <font>
      <sz val="36"/>
      <color theme="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9141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7" fillId="33" borderId="0" xfId="0" applyFont="1" applyFill="1"/>
    <xf numFmtId="164" fontId="0" fillId="0" borderId="0" xfId="0" applyNumberFormat="1"/>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19" fillId="33" borderId="0" xfId="0" applyFont="1" applyFill="1" applyAlignment="1">
      <alignment horizontal="center"/>
    </xf>
    <xf numFmtId="0" fontId="20" fillId="33" borderId="0" xfId="0" applyFont="1" applyFill="1" applyAlignment="1">
      <alignment horizontal="center" vertical="center"/>
    </xf>
    <xf numFmtId="164" fontId="19" fillId="33" borderId="0" xfId="42" applyNumberFormat="1" applyFont="1" applyFill="1" applyAlignment="1">
      <alignment horizontal="center" vertical="center"/>
    </xf>
    <xf numFmtId="0" fontId="0" fillId="0" borderId="0" xfId="0" applyNumberFormat="1"/>
    <xf numFmtId="0" fontId="17" fillId="33"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07">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ill>
        <patternFill patternType="solid">
          <bgColor rgb="FF19141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0" formatCode="General"/>
    </dxf>
    <dxf>
      <numFmt numFmtId="19" formatCode="m/d/yyyy"/>
    </dxf>
    <dxf>
      <font>
        <color theme="0"/>
      </font>
      <border diagonalUp="0" diagonalDown="0">
        <left/>
        <right/>
        <top/>
        <bottom/>
        <vertical/>
        <horizontal/>
      </border>
    </dxf>
    <dxf>
      <font>
        <color theme="0"/>
      </font>
      <fill>
        <patternFill>
          <bgColor rgb="FF191414"/>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Green theme" pivot="0" table="0" count="10" xr9:uid="{0AD82D1D-BFA8-4C16-A797-7279BE0BF086}">
      <tableStyleElement type="wholeTable" dxfId="1406"/>
      <tableStyleElement type="headerRow" dxfId="1405"/>
    </tableStyle>
  </tableStyles>
  <colors>
    <mruColors>
      <color rgb="FF1DB954"/>
      <color rgb="FFB3B3B3"/>
      <color rgb="FF19141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1DB954"/>
              </stop>
              <stop position="1">
                <color theme="9" tint="0.80001220740379042"/>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1DB954"/>
              </stop>
              <stop position="1">
                <color theme="9" tint="0.80001220740379042"/>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1DB954"/>
              <bgColor rgb="FF1DB95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0.49998474074526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Green theme">
        <x14:slicerStyle name="Green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chartsheet" Target="chartsheets/sheet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Top_Tracks_of_2025_Global!$M$1</c:f>
              <c:strCache>
                <c:ptCount val="1"/>
                <c:pt idx="0">
                  <c:v>Energy</c:v>
                </c:pt>
              </c:strCache>
            </c:strRef>
          </c:tx>
          <c:spPr>
            <a:ln w="38100" cap="rnd">
              <a:noFill/>
              <a:round/>
            </a:ln>
            <a:effectLst/>
          </c:spPr>
          <c:marker>
            <c:symbol val="circle"/>
            <c:size val="5"/>
            <c:spPr>
              <a:solidFill>
                <a:schemeClr val="accent1"/>
              </a:solidFill>
              <a:ln w="9525">
                <a:solidFill>
                  <a:schemeClr val="accent1"/>
                </a:solidFill>
              </a:ln>
              <a:effectLst/>
            </c:spPr>
          </c:marker>
          <c:xVal>
            <c:numRef>
              <c:f>Top_Tracks_of_2025_Global!$L$2:$L$52</c:f>
              <c:numCache>
                <c:formatCode>General</c:formatCode>
                <c:ptCount val="51"/>
                <c:pt idx="0">
                  <c:v>0.91600000000000004</c:v>
                </c:pt>
                <c:pt idx="1">
                  <c:v>0.89800000000000002</c:v>
                </c:pt>
                <c:pt idx="2">
                  <c:v>0.89400000000000002</c:v>
                </c:pt>
                <c:pt idx="3">
                  <c:v>0.874</c:v>
                </c:pt>
                <c:pt idx="4">
                  <c:v>0.86099999999999999</c:v>
                </c:pt>
                <c:pt idx="5">
                  <c:v>0.85499999999999998</c:v>
                </c:pt>
                <c:pt idx="6">
                  <c:v>0.83299999999999996</c:v>
                </c:pt>
                <c:pt idx="7">
                  <c:v>0.82</c:v>
                </c:pt>
                <c:pt idx="8">
                  <c:v>0.81100000000000005</c:v>
                </c:pt>
                <c:pt idx="9">
                  <c:v>0.79800000000000004</c:v>
                </c:pt>
                <c:pt idx="10">
                  <c:v>0.77900000000000003</c:v>
                </c:pt>
                <c:pt idx="11">
                  <c:v>0.77700000000000002</c:v>
                </c:pt>
                <c:pt idx="12">
                  <c:v>0.76800000000000002</c:v>
                </c:pt>
                <c:pt idx="13">
                  <c:v>0.747</c:v>
                </c:pt>
                <c:pt idx="14">
                  <c:v>0.746</c:v>
                </c:pt>
                <c:pt idx="15">
                  <c:v>0.72899999999999998</c:v>
                </c:pt>
                <c:pt idx="16">
                  <c:v>0.70699999999999996</c:v>
                </c:pt>
                <c:pt idx="17">
                  <c:v>0.70499999999999996</c:v>
                </c:pt>
                <c:pt idx="18">
                  <c:v>0.7</c:v>
                </c:pt>
                <c:pt idx="19">
                  <c:v>0.69899999999999995</c:v>
                </c:pt>
                <c:pt idx="20">
                  <c:v>0.69499999999999995</c:v>
                </c:pt>
                <c:pt idx="21">
                  <c:v>0.67900000000000005</c:v>
                </c:pt>
                <c:pt idx="22">
                  <c:v>0.67400000000000004</c:v>
                </c:pt>
                <c:pt idx="23">
                  <c:v>0.66</c:v>
                </c:pt>
                <c:pt idx="24">
                  <c:v>0.65100000000000002</c:v>
                </c:pt>
                <c:pt idx="25">
                  <c:v>0.64500000000000002</c:v>
                </c:pt>
                <c:pt idx="26">
                  <c:v>0.64200000000000002</c:v>
                </c:pt>
                <c:pt idx="27">
                  <c:v>0.625</c:v>
                </c:pt>
                <c:pt idx="28">
                  <c:v>0.61299999999999999</c:v>
                </c:pt>
                <c:pt idx="29">
                  <c:v>0.61199999999999999</c:v>
                </c:pt>
                <c:pt idx="30">
                  <c:v>0.61</c:v>
                </c:pt>
                <c:pt idx="31">
                  <c:v>0.56100000000000005</c:v>
                </c:pt>
                <c:pt idx="32">
                  <c:v>0.55800000000000005</c:v>
                </c:pt>
                <c:pt idx="33">
                  <c:v>0.55400000000000005</c:v>
                </c:pt>
                <c:pt idx="34">
                  <c:v>0.51900000000000002</c:v>
                </c:pt>
                <c:pt idx="35">
                  <c:v>0.51500000000000001</c:v>
                </c:pt>
                <c:pt idx="36">
                  <c:v>0.499</c:v>
                </c:pt>
                <c:pt idx="37">
                  <c:v>0.47199999999999998</c:v>
                </c:pt>
                <c:pt idx="38">
                  <c:v>0.46700000000000003</c:v>
                </c:pt>
                <c:pt idx="39">
                  <c:v>0.46400000000000002</c:v>
                </c:pt>
                <c:pt idx="40">
                  <c:v>0.44</c:v>
                </c:pt>
                <c:pt idx="41">
                  <c:v>0.436</c:v>
                </c:pt>
                <c:pt idx="42">
                  <c:v>0.42899999999999999</c:v>
                </c:pt>
                <c:pt idx="43">
                  <c:v>0.36799999999999999</c:v>
                </c:pt>
                <c:pt idx="44">
                  <c:v>0.36</c:v>
                </c:pt>
                <c:pt idx="45">
                  <c:v>0.315</c:v>
                </c:pt>
                <c:pt idx="46">
                  <c:v>0.26400000000000001</c:v>
                </c:pt>
                <c:pt idx="47">
                  <c:v>0.16800000000000001</c:v>
                </c:pt>
                <c:pt idx="48">
                  <c:v>0.14799999999999999</c:v>
                </c:pt>
                <c:pt idx="49">
                  <c:v>0.14199999999999999</c:v>
                </c:pt>
              </c:numCache>
            </c:numRef>
          </c:xVal>
          <c:yVal>
            <c:numRef>
              <c:f>Top_Tracks_of_2025_Global!$M$2:$M$52</c:f>
              <c:numCache>
                <c:formatCode>General</c:formatCode>
                <c:ptCount val="51"/>
                <c:pt idx="0">
                  <c:v>0.625</c:v>
                </c:pt>
                <c:pt idx="1">
                  <c:v>0.47199999999999998</c:v>
                </c:pt>
                <c:pt idx="2">
                  <c:v>0.64300000000000002</c:v>
                </c:pt>
                <c:pt idx="3">
                  <c:v>0.61299999999999999</c:v>
                </c:pt>
                <c:pt idx="4">
                  <c:v>0.81499999999999995</c:v>
                </c:pt>
                <c:pt idx="5">
                  <c:v>0.52900000000000003</c:v>
                </c:pt>
                <c:pt idx="6">
                  <c:v>0.56299999999999994</c:v>
                </c:pt>
                <c:pt idx="7">
                  <c:v>0.45200000000000001</c:v>
                </c:pt>
                <c:pt idx="8">
                  <c:v>0.74299999999999999</c:v>
                </c:pt>
                <c:pt idx="9">
                  <c:v>0.56200000000000006</c:v>
                </c:pt>
                <c:pt idx="10">
                  <c:v>0.73099999999999998</c:v>
                </c:pt>
                <c:pt idx="11">
                  <c:v>0.78300000000000003</c:v>
                </c:pt>
                <c:pt idx="12">
                  <c:v>0.77500000000000002</c:v>
                </c:pt>
                <c:pt idx="13">
                  <c:v>0.50700000000000001</c:v>
                </c:pt>
                <c:pt idx="14">
                  <c:v>0.317</c:v>
                </c:pt>
                <c:pt idx="15">
                  <c:v>0.56200000000000006</c:v>
                </c:pt>
                <c:pt idx="16">
                  <c:v>0.57499999999999996</c:v>
                </c:pt>
                <c:pt idx="17">
                  <c:v>0.33900000000000002</c:v>
                </c:pt>
                <c:pt idx="18">
                  <c:v>0.58199999999999996</c:v>
                </c:pt>
                <c:pt idx="19">
                  <c:v>0.77600000000000002</c:v>
                </c:pt>
                <c:pt idx="20">
                  <c:v>0.63300000000000001</c:v>
                </c:pt>
                <c:pt idx="21">
                  <c:v>0.90600000000000003</c:v>
                </c:pt>
                <c:pt idx="22">
                  <c:v>0.90700000000000003</c:v>
                </c:pt>
                <c:pt idx="23">
                  <c:v>0.75600000000000001</c:v>
                </c:pt>
                <c:pt idx="24">
                  <c:v>0.68600000000000005</c:v>
                </c:pt>
                <c:pt idx="25">
                  <c:v>0.64600000000000002</c:v>
                </c:pt>
                <c:pt idx="26">
                  <c:v>0.88700000000000001</c:v>
                </c:pt>
                <c:pt idx="27">
                  <c:v>0.13100000000000001</c:v>
                </c:pt>
                <c:pt idx="28">
                  <c:v>0.98099999999999998</c:v>
                </c:pt>
                <c:pt idx="29">
                  <c:v>0.80700000000000005</c:v>
                </c:pt>
                <c:pt idx="30">
                  <c:v>0.65</c:v>
                </c:pt>
                <c:pt idx="31">
                  <c:v>0.60399999999999998</c:v>
                </c:pt>
                <c:pt idx="32">
                  <c:v>0.55900000000000005</c:v>
                </c:pt>
                <c:pt idx="33">
                  <c:v>0.80800000000000005</c:v>
                </c:pt>
                <c:pt idx="34">
                  <c:v>0.60099999999999998</c:v>
                </c:pt>
                <c:pt idx="35">
                  <c:v>0.43</c:v>
                </c:pt>
                <c:pt idx="36">
                  <c:v>0.39200000000000002</c:v>
                </c:pt>
                <c:pt idx="37">
                  <c:v>0.47099999999999997</c:v>
                </c:pt>
                <c:pt idx="38">
                  <c:v>0.247</c:v>
                </c:pt>
                <c:pt idx="39">
                  <c:v>0.41699999999999998</c:v>
                </c:pt>
                <c:pt idx="40">
                  <c:v>0.378</c:v>
                </c:pt>
                <c:pt idx="41">
                  <c:v>0.72299999999999998</c:v>
                </c:pt>
                <c:pt idx="42">
                  <c:v>0.66100000000000003</c:v>
                </c:pt>
                <c:pt idx="43">
                  <c:v>0.69399999999999995</c:v>
                </c:pt>
                <c:pt idx="44">
                  <c:v>0.46400000000000002</c:v>
                </c:pt>
                <c:pt idx="45">
                  <c:v>0.71499999999999997</c:v>
                </c:pt>
                <c:pt idx="46">
                  <c:v>0.64</c:v>
                </c:pt>
                <c:pt idx="47">
                  <c:v>3.32E-3</c:v>
                </c:pt>
                <c:pt idx="48">
                  <c:v>0.60399999999999998</c:v>
                </c:pt>
                <c:pt idx="49">
                  <c:v>0.19500000000000001</c:v>
                </c:pt>
              </c:numCache>
            </c:numRef>
          </c:yVal>
          <c:smooth val="0"/>
          <c:extLst>
            <c:ext xmlns:c16="http://schemas.microsoft.com/office/drawing/2014/chart" uri="{C3380CC4-5D6E-409C-BE32-E72D297353CC}">
              <c16:uniqueId val="{00000000-E7BC-4126-908B-390B79B46DA7}"/>
            </c:ext>
          </c:extLst>
        </c:ser>
        <c:dLbls>
          <c:showLegendKey val="0"/>
          <c:showVal val="0"/>
          <c:showCatName val="0"/>
          <c:showSerName val="0"/>
          <c:showPercent val="0"/>
          <c:showBubbleSize val="0"/>
        </c:dLbls>
        <c:axId val="24771248"/>
        <c:axId val="24774608"/>
      </c:scatterChart>
      <c:valAx>
        <c:axId val="24771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Danceability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4608"/>
        <c:crosses val="autoZero"/>
        <c:crossBetween val="midCat"/>
      </c:valAx>
      <c:valAx>
        <c:axId val="2477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Energy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[Top_Tracks_of_2025_Global.xlsx]Top_Tracks_of_2025_Global!PivotTable6</c:name>
    <c:fmtId val="5"/>
  </c:pivotSource>
  <c:chart>
    <c:title>
      <c:tx>
        <c:rich>
          <a:bodyPr rot="0" spcFirstLastPara="1" vertOverflow="ellipsis" vert="horz" wrap="square" anchor="ctr" anchorCtr="1"/>
          <a:lstStyle/>
          <a:p>
            <a:pPr algn="ctr">
              <a:defRPr sz="1600" b="1" i="0" u="none" strike="noStrike" kern="1200" spc="0" normalizeH="0" baseline="0">
                <a:solidFill>
                  <a:schemeClr val="dk1">
                    <a:lumMod val="50000"/>
                    <a:lumOff val="50000"/>
                  </a:schemeClr>
                </a:solidFill>
                <a:latin typeface="+mj-lt"/>
                <a:ea typeface="+mj-ea"/>
                <a:cs typeface="+mj-cs"/>
              </a:defRPr>
            </a:pPr>
            <a:r>
              <a:rPr lang="en-US" sz="2000">
                <a:solidFill>
                  <a:schemeClr val="bg1"/>
                </a:solidFill>
              </a:rPr>
              <a:t>Total</a:t>
            </a:r>
          </a:p>
        </c:rich>
      </c:tx>
      <c:overlay val="1"/>
      <c:spPr>
        <a:noFill/>
        <a:ln>
          <a:noFill/>
        </a:ln>
        <a:effectLst/>
      </c:spPr>
      <c:txPr>
        <a:bodyPr rot="0" spcFirstLastPara="1" vertOverflow="ellipsis" vert="horz" wrap="square" anchor="ctr" anchorCtr="1"/>
        <a:lstStyle/>
        <a:p>
          <a:pPr algn="ct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3">
                  <a:lumMod val="60000"/>
                  <a:lumOff val="40000"/>
                </a:schemeClr>
              </a:gs>
              <a:gs pos="0">
                <a:schemeClr val="accent3"/>
              </a:gs>
            </a:gsLst>
            <a:lin ang="5400000" scaled="0"/>
          </a:gradFill>
          <a:ln w="19050">
            <a:no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3">
                  <a:shade val="76000"/>
                  <a:lumMod val="60000"/>
                  <a:lumOff val="40000"/>
                </a:schemeClr>
              </a:gs>
              <a:gs pos="0">
                <a:schemeClr val="accent3">
                  <a:shade val="76000"/>
                </a:schemeClr>
              </a:gs>
            </a:gsLst>
            <a:lin ang="5400000" scaled="0"/>
          </a:gradFill>
          <a:ln w="19050">
            <a:noFill/>
          </a:ln>
          <a:effectLst/>
        </c:spPr>
      </c:pivotFmt>
      <c:pivotFmt>
        <c:idx val="6"/>
        <c:spPr>
          <a:gradFill>
            <a:gsLst>
              <a:gs pos="100000">
                <a:schemeClr val="accent3">
                  <a:tint val="77000"/>
                  <a:lumMod val="60000"/>
                  <a:lumOff val="40000"/>
                </a:schemeClr>
              </a:gs>
              <a:gs pos="0">
                <a:schemeClr val="accent3">
                  <a:tint val="77000"/>
                </a:schemeClr>
              </a:gs>
            </a:gsLst>
            <a:lin ang="5400000" scaled="0"/>
          </a:gradFill>
          <a:ln w="19050">
            <a:noFill/>
          </a:ln>
          <a:effectLst/>
        </c:spPr>
      </c:pivotFmt>
    </c:pivotFmts>
    <c:plotArea>
      <c:layout/>
      <c:doughnutChart>
        <c:varyColors val="1"/>
        <c:ser>
          <c:idx val="0"/>
          <c:order val="0"/>
          <c:tx>
            <c:strRef>
              <c:f>Top_Tracks_of_2025_Global!$AX$3</c:f>
              <c:strCache>
                <c:ptCount val="1"/>
                <c:pt idx="0">
                  <c:v>Total</c:v>
                </c:pt>
              </c:strCache>
            </c:strRef>
          </c:tx>
          <c:spPr>
            <a:ln>
              <a:noFill/>
            </a:ln>
          </c:spPr>
          <c:dPt>
            <c:idx val="0"/>
            <c:bubble3D val="0"/>
            <c:spPr>
              <a:gradFill>
                <a:gsLst>
                  <a:gs pos="100000">
                    <a:schemeClr val="accent3">
                      <a:shade val="76000"/>
                      <a:lumMod val="60000"/>
                      <a:lumOff val="40000"/>
                    </a:schemeClr>
                  </a:gs>
                  <a:gs pos="0">
                    <a:schemeClr val="accent3">
                      <a:shade val="76000"/>
                    </a:schemeClr>
                  </a:gs>
                </a:gsLst>
                <a:lin ang="5400000" scaled="0"/>
              </a:gradFill>
              <a:ln w="19050">
                <a:noFill/>
              </a:ln>
              <a:effectLst/>
            </c:spPr>
            <c:extLst>
              <c:ext xmlns:c16="http://schemas.microsoft.com/office/drawing/2014/chart" uri="{C3380CC4-5D6E-409C-BE32-E72D297353CC}">
                <c16:uniqueId val="{00000001-76C7-458E-83DE-B539FB73D28C}"/>
              </c:ext>
            </c:extLst>
          </c:dPt>
          <c:dPt>
            <c:idx val="1"/>
            <c:bubble3D val="0"/>
            <c:spPr>
              <a:gradFill>
                <a:gsLst>
                  <a:gs pos="100000">
                    <a:schemeClr val="accent3">
                      <a:tint val="77000"/>
                      <a:lumMod val="60000"/>
                      <a:lumOff val="40000"/>
                    </a:schemeClr>
                  </a:gs>
                  <a:gs pos="0">
                    <a:schemeClr val="accent3">
                      <a:tint val="77000"/>
                    </a:schemeClr>
                  </a:gs>
                </a:gsLst>
                <a:lin ang="5400000" scaled="0"/>
              </a:gradFill>
              <a:ln w="19050">
                <a:noFill/>
              </a:ln>
              <a:effectLst/>
            </c:spPr>
            <c:extLst>
              <c:ext xmlns:c16="http://schemas.microsoft.com/office/drawing/2014/chart" uri="{C3380CC4-5D6E-409C-BE32-E72D297353CC}">
                <c16:uniqueId val="{00000003-76C7-458E-83DE-B539FB73D28C}"/>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Top_Tracks_of_2025_Global!$AW$4:$AW$6</c:f>
              <c:strCache>
                <c:ptCount val="2"/>
                <c:pt idx="0">
                  <c:v>Chill 🛋️</c:v>
                </c:pt>
                <c:pt idx="1">
                  <c:v>Fast 🏃‍♂️</c:v>
                </c:pt>
              </c:strCache>
            </c:strRef>
          </c:cat>
          <c:val>
            <c:numRef>
              <c:f>Top_Tracks_of_2025_Global!$AX$4:$AX$6</c:f>
              <c:numCache>
                <c:formatCode>General</c:formatCode>
                <c:ptCount val="2"/>
                <c:pt idx="0">
                  <c:v>33</c:v>
                </c:pt>
                <c:pt idx="1">
                  <c:v>17</c:v>
                </c:pt>
              </c:numCache>
            </c:numRef>
          </c:val>
          <c:extLst>
            <c:ext xmlns:c16="http://schemas.microsoft.com/office/drawing/2014/chart" uri="{C3380CC4-5D6E-409C-BE32-E72D297353CC}">
              <c16:uniqueId val="{00000004-76C7-458E-83DE-B539FB73D28C}"/>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[Top_Tracks_of_2025_Global.xlsx]Top_Tracks_of_2025_Global!PivotTable7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Top_Tracks_of_2025_Global!$AX$16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Top_Tracks_of_2025_Global!$AW$17:$AW$27</c:f>
              <c:strCache>
                <c:ptCount val="10"/>
                <c:pt idx="0">
                  <c:v>Bad Bunny</c:v>
                </c:pt>
                <c:pt idx="1">
                  <c:v>Bad Bunny;Omar Courtz;Dei V</c:v>
                </c:pt>
                <c:pt idx="2">
                  <c:v>Chappell Roan</c:v>
                </c:pt>
                <c:pt idx="3">
                  <c:v>Gracie Abrams</c:v>
                </c:pt>
                <c:pt idx="4">
                  <c:v>Kendrick Lamar;SZA</c:v>
                </c:pt>
                <c:pt idx="5">
                  <c:v>Lady Gaga</c:v>
                </c:pt>
                <c:pt idx="6">
                  <c:v>Sabrina Carpenter</c:v>
                </c:pt>
                <c:pt idx="7">
                  <c:v>sombr</c:v>
                </c:pt>
                <c:pt idx="8">
                  <c:v>Tate McRae</c:v>
                </c:pt>
                <c:pt idx="9">
                  <c:v>The Neighbourhood</c:v>
                </c:pt>
              </c:strCache>
            </c:strRef>
          </c:cat>
          <c:val>
            <c:numRef>
              <c:f>Top_Tracks_of_2025_Global!$AX$17:$AX$27</c:f>
              <c:numCache>
                <c:formatCode>General</c:formatCode>
                <c:ptCount val="10"/>
                <c:pt idx="0">
                  <c:v>1.3973199999999999</c:v>
                </c:pt>
                <c:pt idx="1">
                  <c:v>0.98099999999999998</c:v>
                </c:pt>
                <c:pt idx="2">
                  <c:v>1.232</c:v>
                </c:pt>
                <c:pt idx="3">
                  <c:v>0.80800000000000005</c:v>
                </c:pt>
                <c:pt idx="4">
                  <c:v>1.208</c:v>
                </c:pt>
                <c:pt idx="5">
                  <c:v>0.90600000000000003</c:v>
                </c:pt>
                <c:pt idx="6">
                  <c:v>1.6830000000000001</c:v>
                </c:pt>
                <c:pt idx="7">
                  <c:v>1.6099999999999999</c:v>
                </c:pt>
                <c:pt idx="8">
                  <c:v>0.81499999999999995</c:v>
                </c:pt>
                <c:pt idx="9">
                  <c:v>0.80700000000000005</c:v>
                </c:pt>
              </c:numCache>
            </c:numRef>
          </c:val>
          <c:extLst>
            <c:ext xmlns:c16="http://schemas.microsoft.com/office/drawing/2014/chart" uri="{C3380CC4-5D6E-409C-BE32-E72D297353CC}">
              <c16:uniqueId val="{00000000-E35F-4BDE-BFE1-249C6635ED9B}"/>
            </c:ext>
          </c:extLst>
        </c:ser>
        <c:dLbls>
          <c:dLblPos val="outEnd"/>
          <c:showLegendKey val="0"/>
          <c:showVal val="1"/>
          <c:showCatName val="0"/>
          <c:showSerName val="0"/>
          <c:showPercent val="0"/>
          <c:showBubbleSize val="0"/>
        </c:dLbls>
        <c:gapWidth val="100"/>
        <c:axId val="1170971823"/>
        <c:axId val="1170975183"/>
      </c:barChart>
      <c:catAx>
        <c:axId val="11709718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Artist</a:t>
                </a:r>
                <a:r>
                  <a:rPr lang="en-US" baseline="0"/>
                  <a:t> Name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0975183"/>
        <c:crosses val="autoZero"/>
        <c:auto val="1"/>
        <c:lblAlgn val="ctr"/>
        <c:lblOffset val="100"/>
        <c:noMultiLvlLbl val="0"/>
      </c:catAx>
      <c:valAx>
        <c:axId val="1170975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Energy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097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Energy vs Danceability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rgbClr val="1DB954">
                  <a:alpha val="70000"/>
                </a:srgbClr>
              </a:solidFill>
              <a:ln w="9525">
                <a:solidFill>
                  <a:schemeClr val="accent6">
                    <a:lumMod val="40000"/>
                    <a:lumOff val="60000"/>
                  </a:schemeClr>
                </a:solidFill>
              </a:ln>
              <a:effectLst/>
            </c:spPr>
          </c:marker>
          <c:xVal>
            <c:numRef>
              <c:f>Top_Tracks_of_2025_Global!$AQ$4:$AQ$53</c:f>
              <c:numCache>
                <c:formatCode>0.0000%</c:formatCode>
                <c:ptCount val="50"/>
                <c:pt idx="0">
                  <c:v>0.90600000000000003</c:v>
                </c:pt>
                <c:pt idx="1">
                  <c:v>0.63300000000000001</c:v>
                </c:pt>
                <c:pt idx="2">
                  <c:v>0.78300000000000003</c:v>
                </c:pt>
                <c:pt idx="3">
                  <c:v>0.72299999999999998</c:v>
                </c:pt>
                <c:pt idx="4">
                  <c:v>3.32E-3</c:v>
                </c:pt>
                <c:pt idx="5">
                  <c:v>0.47099999999999997</c:v>
                </c:pt>
                <c:pt idx="6">
                  <c:v>0.50700000000000001</c:v>
                </c:pt>
                <c:pt idx="7">
                  <c:v>0.317</c:v>
                </c:pt>
                <c:pt idx="8">
                  <c:v>0.61299999999999999</c:v>
                </c:pt>
                <c:pt idx="9">
                  <c:v>0.43</c:v>
                </c:pt>
                <c:pt idx="10">
                  <c:v>0.60099999999999998</c:v>
                </c:pt>
                <c:pt idx="11">
                  <c:v>0.56200000000000006</c:v>
                </c:pt>
                <c:pt idx="12">
                  <c:v>0.13100000000000001</c:v>
                </c:pt>
                <c:pt idx="13">
                  <c:v>0.46400000000000002</c:v>
                </c:pt>
                <c:pt idx="14">
                  <c:v>0.77600000000000002</c:v>
                </c:pt>
                <c:pt idx="15">
                  <c:v>0.45200000000000001</c:v>
                </c:pt>
                <c:pt idx="16">
                  <c:v>0.68600000000000005</c:v>
                </c:pt>
                <c:pt idx="17">
                  <c:v>0.58199999999999996</c:v>
                </c:pt>
                <c:pt idx="18">
                  <c:v>0.41699999999999998</c:v>
                </c:pt>
                <c:pt idx="19">
                  <c:v>0.71499999999999997</c:v>
                </c:pt>
                <c:pt idx="20">
                  <c:v>0.64300000000000002</c:v>
                </c:pt>
                <c:pt idx="21">
                  <c:v>0.74299999999999999</c:v>
                </c:pt>
                <c:pt idx="22">
                  <c:v>0.60399999999999998</c:v>
                </c:pt>
                <c:pt idx="23">
                  <c:v>0.73099999999999998</c:v>
                </c:pt>
                <c:pt idx="24">
                  <c:v>0.57499999999999996</c:v>
                </c:pt>
                <c:pt idx="25">
                  <c:v>0.56200000000000006</c:v>
                </c:pt>
                <c:pt idx="26">
                  <c:v>0.33900000000000002</c:v>
                </c:pt>
                <c:pt idx="27">
                  <c:v>0.47199999999999998</c:v>
                </c:pt>
                <c:pt idx="28">
                  <c:v>0.19500000000000001</c:v>
                </c:pt>
                <c:pt idx="29">
                  <c:v>0.64</c:v>
                </c:pt>
                <c:pt idx="30">
                  <c:v>0.69399999999999995</c:v>
                </c:pt>
                <c:pt idx="31">
                  <c:v>0.65</c:v>
                </c:pt>
                <c:pt idx="32">
                  <c:v>0.56299999999999994</c:v>
                </c:pt>
                <c:pt idx="33">
                  <c:v>0.39200000000000002</c:v>
                </c:pt>
                <c:pt idx="34">
                  <c:v>0.55900000000000005</c:v>
                </c:pt>
                <c:pt idx="35">
                  <c:v>0.625</c:v>
                </c:pt>
                <c:pt idx="36">
                  <c:v>0.81499999999999995</c:v>
                </c:pt>
                <c:pt idx="37">
                  <c:v>0.80700000000000005</c:v>
                </c:pt>
                <c:pt idx="38">
                  <c:v>0.90700000000000003</c:v>
                </c:pt>
                <c:pt idx="39">
                  <c:v>0.80800000000000005</c:v>
                </c:pt>
                <c:pt idx="40">
                  <c:v>0.378</c:v>
                </c:pt>
                <c:pt idx="41">
                  <c:v>0.77500000000000002</c:v>
                </c:pt>
                <c:pt idx="42">
                  <c:v>0.52900000000000003</c:v>
                </c:pt>
                <c:pt idx="43">
                  <c:v>0.88700000000000001</c:v>
                </c:pt>
                <c:pt idx="44">
                  <c:v>0.98099999999999998</c:v>
                </c:pt>
                <c:pt idx="45">
                  <c:v>0.60399999999999998</c:v>
                </c:pt>
                <c:pt idx="46">
                  <c:v>0.64600000000000002</c:v>
                </c:pt>
                <c:pt idx="47">
                  <c:v>0.75600000000000001</c:v>
                </c:pt>
                <c:pt idx="48">
                  <c:v>0.247</c:v>
                </c:pt>
                <c:pt idx="49">
                  <c:v>0.66100000000000003</c:v>
                </c:pt>
              </c:numCache>
            </c:numRef>
          </c:xVal>
          <c:yVal>
            <c:numRef>
              <c:f>Top_Tracks_of_2025_Global!$AR$4:$AR$53</c:f>
              <c:numCache>
                <c:formatCode>0.0000%</c:formatCode>
                <c:ptCount val="50"/>
                <c:pt idx="0">
                  <c:v>0.67900000000000005</c:v>
                </c:pt>
                <c:pt idx="1">
                  <c:v>0.69499999999999995</c:v>
                </c:pt>
                <c:pt idx="2">
                  <c:v>0.77700000000000002</c:v>
                </c:pt>
                <c:pt idx="3">
                  <c:v>0.436</c:v>
                </c:pt>
                <c:pt idx="4">
                  <c:v>0.16800000000000001</c:v>
                </c:pt>
                <c:pt idx="5">
                  <c:v>0.47199999999999998</c:v>
                </c:pt>
                <c:pt idx="6">
                  <c:v>0.747</c:v>
                </c:pt>
                <c:pt idx="7">
                  <c:v>0.746</c:v>
                </c:pt>
                <c:pt idx="8">
                  <c:v>0.874</c:v>
                </c:pt>
                <c:pt idx="9">
                  <c:v>0.51500000000000001</c:v>
                </c:pt>
                <c:pt idx="10">
                  <c:v>0.51900000000000002</c:v>
                </c:pt>
                <c:pt idx="11">
                  <c:v>0.72899999999999998</c:v>
                </c:pt>
                <c:pt idx="12">
                  <c:v>0.625</c:v>
                </c:pt>
                <c:pt idx="13">
                  <c:v>0.36</c:v>
                </c:pt>
                <c:pt idx="14">
                  <c:v>0.69899999999999995</c:v>
                </c:pt>
                <c:pt idx="15">
                  <c:v>0.82</c:v>
                </c:pt>
                <c:pt idx="16">
                  <c:v>0.65100000000000002</c:v>
                </c:pt>
                <c:pt idx="17">
                  <c:v>0.7</c:v>
                </c:pt>
                <c:pt idx="18">
                  <c:v>0.46400000000000002</c:v>
                </c:pt>
                <c:pt idx="19">
                  <c:v>0.315</c:v>
                </c:pt>
                <c:pt idx="20">
                  <c:v>0.89400000000000002</c:v>
                </c:pt>
                <c:pt idx="21">
                  <c:v>0.81100000000000005</c:v>
                </c:pt>
                <c:pt idx="22">
                  <c:v>0.56100000000000005</c:v>
                </c:pt>
                <c:pt idx="23">
                  <c:v>0.77900000000000003</c:v>
                </c:pt>
                <c:pt idx="24">
                  <c:v>0.70699999999999996</c:v>
                </c:pt>
                <c:pt idx="25">
                  <c:v>0.79800000000000004</c:v>
                </c:pt>
                <c:pt idx="26">
                  <c:v>0.70499999999999996</c:v>
                </c:pt>
                <c:pt idx="27">
                  <c:v>0.89800000000000002</c:v>
                </c:pt>
                <c:pt idx="28">
                  <c:v>0.14199999999999999</c:v>
                </c:pt>
                <c:pt idx="29">
                  <c:v>0.26400000000000001</c:v>
                </c:pt>
                <c:pt idx="30">
                  <c:v>0.36799999999999999</c:v>
                </c:pt>
                <c:pt idx="31">
                  <c:v>0.61</c:v>
                </c:pt>
                <c:pt idx="32">
                  <c:v>0.83299999999999996</c:v>
                </c:pt>
                <c:pt idx="33">
                  <c:v>0.499</c:v>
                </c:pt>
                <c:pt idx="34">
                  <c:v>0.55800000000000005</c:v>
                </c:pt>
                <c:pt idx="35">
                  <c:v>0.91600000000000004</c:v>
                </c:pt>
                <c:pt idx="36">
                  <c:v>0.86099999999999999</c:v>
                </c:pt>
                <c:pt idx="37">
                  <c:v>0.61199999999999999</c:v>
                </c:pt>
                <c:pt idx="38">
                  <c:v>0.67400000000000004</c:v>
                </c:pt>
                <c:pt idx="39">
                  <c:v>0.55400000000000005</c:v>
                </c:pt>
                <c:pt idx="40">
                  <c:v>0.44</c:v>
                </c:pt>
                <c:pt idx="41">
                  <c:v>0.76800000000000002</c:v>
                </c:pt>
                <c:pt idx="42">
                  <c:v>0.85499999999999998</c:v>
                </c:pt>
                <c:pt idx="43">
                  <c:v>0.64200000000000002</c:v>
                </c:pt>
                <c:pt idx="44">
                  <c:v>0.61299999999999999</c:v>
                </c:pt>
                <c:pt idx="45">
                  <c:v>0.14799999999999999</c:v>
                </c:pt>
                <c:pt idx="46">
                  <c:v>0.64500000000000002</c:v>
                </c:pt>
                <c:pt idx="47">
                  <c:v>0.66</c:v>
                </c:pt>
                <c:pt idx="48">
                  <c:v>0.46700000000000003</c:v>
                </c:pt>
                <c:pt idx="49">
                  <c:v>0.42899999999999999</c:v>
                </c:pt>
              </c:numCache>
            </c:numRef>
          </c:yVal>
          <c:smooth val="0"/>
          <c:extLst>
            <c:ext xmlns:c16="http://schemas.microsoft.com/office/drawing/2014/chart" uri="{C3380CC4-5D6E-409C-BE32-E72D297353CC}">
              <c16:uniqueId val="{00000000-16F0-47F1-A6F6-B2A4D0DDDBB2}"/>
            </c:ext>
          </c:extLst>
        </c:ser>
        <c:dLbls>
          <c:showLegendKey val="0"/>
          <c:showVal val="0"/>
          <c:showCatName val="0"/>
          <c:showSerName val="0"/>
          <c:showPercent val="0"/>
          <c:showBubbleSize val="0"/>
        </c:dLbls>
        <c:axId val="865249567"/>
        <c:axId val="865250047"/>
      </c:scatterChart>
      <c:valAx>
        <c:axId val="8652495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Energy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5250047"/>
        <c:crosses val="autoZero"/>
        <c:crossBetween val="midCat"/>
      </c:valAx>
      <c:valAx>
        <c:axId val="86525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Danceability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5249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0CDD46B-1FC6-43EA-BB2D-452CEBD01DD5}">
  <sheetPr/>
  <sheetViews>
    <sheetView zoomScale="7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4.xml"/><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absoluteAnchor>
    <xdr:pos x="0" y="0"/>
    <xdr:ext cx="8654143" cy="6281057"/>
    <xdr:graphicFrame macro="">
      <xdr:nvGraphicFramePr>
        <xdr:cNvPr id="2" name="Chart 1">
          <a:extLst>
            <a:ext uri="{FF2B5EF4-FFF2-40B4-BE49-F238E27FC236}">
              <a16:creationId xmlns:a16="http://schemas.microsoft.com/office/drawing/2014/main" id="{045F7E36-05EC-D073-F19B-C5FD2E59C4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1202230</xdr:colOff>
      <xdr:row>84</xdr:row>
      <xdr:rowOff>139567</xdr:rowOff>
    </xdr:from>
    <xdr:to>
      <xdr:col>1</xdr:col>
      <xdr:colOff>2924471</xdr:colOff>
      <xdr:row>90</xdr:row>
      <xdr:rowOff>165016</xdr:rowOff>
    </xdr:to>
    <mc:AlternateContent xmlns:mc="http://schemas.openxmlformats.org/markup-compatibility/2006">
      <mc:Choice xmlns:a14="http://schemas.microsoft.com/office/drawing/2010/main" Requires="a14">
        <xdr:graphicFrame macro="">
          <xdr:nvGraphicFramePr>
            <xdr:cNvPr id="6" name="Danceability">
              <a:extLst>
                <a:ext uri="{FF2B5EF4-FFF2-40B4-BE49-F238E27FC236}">
                  <a16:creationId xmlns:a16="http://schemas.microsoft.com/office/drawing/2014/main" id="{3FE61334-ECB9-92E7-50F7-0E7CDE5075CD}"/>
                </a:ext>
              </a:extLst>
            </xdr:cNvPr>
            <xdr:cNvGraphicFramePr/>
          </xdr:nvGraphicFramePr>
          <xdr:xfrm>
            <a:off x="0" y="0"/>
            <a:ext cx="0" cy="0"/>
          </xdr:xfrm>
          <a:graphic>
            <a:graphicData uri="http://schemas.microsoft.com/office/drawing/2010/slicer">
              <sle:slicer xmlns:sle="http://schemas.microsoft.com/office/drawing/2010/slicer" name="Danceability"/>
            </a:graphicData>
          </a:graphic>
        </xdr:graphicFrame>
      </mc:Choice>
      <mc:Fallback>
        <xdr:sp macro="" textlink="">
          <xdr:nvSpPr>
            <xdr:cNvPr id="0" name=""/>
            <xdr:cNvSpPr>
              <a:spLocks noTextEdit="1"/>
            </xdr:cNvSpPr>
          </xdr:nvSpPr>
          <xdr:spPr>
            <a:xfrm>
              <a:off x="1202230" y="18579967"/>
              <a:ext cx="5684641" cy="1244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739587</xdr:colOff>
      <xdr:row>14</xdr:row>
      <xdr:rowOff>81643</xdr:rowOff>
    </xdr:from>
    <xdr:to>
      <xdr:col>20</xdr:col>
      <xdr:colOff>0</xdr:colOff>
      <xdr:row>67</xdr:row>
      <xdr:rowOff>40105</xdr:rowOff>
    </xdr:to>
    <xdr:graphicFrame macro="">
      <xdr:nvGraphicFramePr>
        <xdr:cNvPr id="7" name="Chart 6">
          <a:extLst>
            <a:ext uri="{FF2B5EF4-FFF2-40B4-BE49-F238E27FC236}">
              <a16:creationId xmlns:a16="http://schemas.microsoft.com/office/drawing/2014/main" id="{883A5470-54CF-4E68-B495-0B70C5D67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423986</xdr:colOff>
      <xdr:row>77</xdr:row>
      <xdr:rowOff>648</xdr:rowOff>
    </xdr:from>
    <xdr:to>
      <xdr:col>20</xdr:col>
      <xdr:colOff>-1</xdr:colOff>
      <xdr:row>134</xdr:row>
      <xdr:rowOff>69272</xdr:rowOff>
    </xdr:to>
    <xdr:graphicFrame macro="">
      <xdr:nvGraphicFramePr>
        <xdr:cNvPr id="8" name="Chart 7">
          <a:extLst>
            <a:ext uri="{FF2B5EF4-FFF2-40B4-BE49-F238E27FC236}">
              <a16:creationId xmlns:a16="http://schemas.microsoft.com/office/drawing/2014/main" id="{A7B3383F-63A0-4200-BC08-E6A444B05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367215</xdr:colOff>
      <xdr:row>0</xdr:row>
      <xdr:rowOff>89423</xdr:rowOff>
    </xdr:from>
    <xdr:to>
      <xdr:col>7</xdr:col>
      <xdr:colOff>2408916</xdr:colOff>
      <xdr:row>4</xdr:row>
      <xdr:rowOff>148408</xdr:rowOff>
    </xdr:to>
    <xdr:pic>
      <xdr:nvPicPr>
        <xdr:cNvPr id="3" name="Picture 2">
          <a:extLst>
            <a:ext uri="{FF2B5EF4-FFF2-40B4-BE49-F238E27FC236}">
              <a16:creationId xmlns:a16="http://schemas.microsoft.com/office/drawing/2014/main" id="{9C95CC8B-45C7-9976-596B-D5BE2154728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12393563" y="89423"/>
          <a:ext cx="2041701" cy="1317942"/>
        </a:xfrm>
        <a:prstGeom prst="rect">
          <a:avLst/>
        </a:prstGeom>
      </xdr:spPr>
    </xdr:pic>
    <xdr:clientData/>
  </xdr:twoCellAnchor>
  <xdr:twoCellAnchor editAs="oneCell">
    <xdr:from>
      <xdr:col>0</xdr:col>
      <xdr:colOff>1180114</xdr:colOff>
      <xdr:row>74</xdr:row>
      <xdr:rowOff>196052</xdr:rowOff>
    </xdr:from>
    <xdr:to>
      <xdr:col>1</xdr:col>
      <xdr:colOff>2902354</xdr:colOff>
      <xdr:row>80</xdr:row>
      <xdr:rowOff>69908</xdr:rowOff>
    </xdr:to>
    <mc:AlternateContent xmlns:mc="http://schemas.openxmlformats.org/markup-compatibility/2006">
      <mc:Choice xmlns:a14="http://schemas.microsoft.com/office/drawing/2010/main" Requires="a14">
        <xdr:graphicFrame macro="">
          <xdr:nvGraphicFramePr>
            <xdr:cNvPr id="4" name="Tempo Vibe">
              <a:extLst>
                <a:ext uri="{FF2B5EF4-FFF2-40B4-BE49-F238E27FC236}">
                  <a16:creationId xmlns:a16="http://schemas.microsoft.com/office/drawing/2014/main" id="{920533D4-5361-EF83-FB0E-3578A57F6BD6}"/>
                </a:ext>
              </a:extLst>
            </xdr:cNvPr>
            <xdr:cNvGraphicFramePr/>
          </xdr:nvGraphicFramePr>
          <xdr:xfrm>
            <a:off x="0" y="0"/>
            <a:ext cx="0" cy="0"/>
          </xdr:xfrm>
          <a:graphic>
            <a:graphicData uri="http://schemas.microsoft.com/office/drawing/2010/slicer">
              <sle:slicer xmlns:sle="http://schemas.microsoft.com/office/drawing/2010/slicer" name="Tempo Vibe"/>
            </a:graphicData>
          </a:graphic>
        </xdr:graphicFrame>
      </mc:Choice>
      <mc:Fallback>
        <xdr:sp macro="" textlink="">
          <xdr:nvSpPr>
            <xdr:cNvPr id="0" name=""/>
            <xdr:cNvSpPr>
              <a:spLocks noTextEdit="1"/>
            </xdr:cNvSpPr>
          </xdr:nvSpPr>
          <xdr:spPr>
            <a:xfrm>
              <a:off x="1180114" y="16589212"/>
              <a:ext cx="5684640" cy="1108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484416</xdr:colOff>
      <xdr:row>14</xdr:row>
      <xdr:rowOff>80154</xdr:rowOff>
    </xdr:from>
    <xdr:to>
      <xdr:col>8</xdr:col>
      <xdr:colOff>9742715</xdr:colOff>
      <xdr:row>66</xdr:row>
      <xdr:rowOff>163285</xdr:rowOff>
    </xdr:to>
    <xdr:graphicFrame macro="">
      <xdr:nvGraphicFramePr>
        <xdr:cNvPr id="9" name="Chart 8">
          <a:extLst>
            <a:ext uri="{FF2B5EF4-FFF2-40B4-BE49-F238E27FC236}">
              <a16:creationId xmlns:a16="http://schemas.microsoft.com/office/drawing/2014/main" id="{58CD77C7-6349-DBE1-E54F-162966FDB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_DK" refreshedDate="46095.782075925927" createdVersion="8" refreshedVersion="8" minRefreshableVersion="3" recordCount="50" xr:uid="{4CFCE0B1-439E-462E-9BF6-5FCBA05E6ADF}">
  <cacheSource type="worksheet">
    <worksheetSource name="SpotifyData2025"/>
  </cacheSource>
  <cacheFields count="25">
    <cacheField name="Track URI" numFmtId="0">
      <sharedItems/>
    </cacheField>
    <cacheField name="Track Name" numFmtId="0">
      <sharedItems count="50">
        <s v="Si Antes Te Hubiera Conocido"/>
        <s v="Not Like Us"/>
        <s v="La Plena - W Sound 05"/>
        <s v="capaz (merengueton)"/>
        <s v="Sports car"/>
        <s v="tv off (feat. lefty gunplay)"/>
        <s v="Qué Pasaría..."/>
        <s v="Every Breath You Take"/>
        <s v="like JENNIE"/>
        <s v="Messy"/>
        <s v="Love Me Not"/>
        <s v="APT."/>
        <s v="Timeless (feat Playboi Carti)"/>
        <s v="BIRDS OF A FEATHER"/>
        <s v="blue"/>
        <s v="Don’t Say You Love Me"/>
        <s v="luther (with sza)"/>
        <s v="No One Noticed"/>
        <s v="Good Luck, Babe!"/>
        <s v="Espresso"/>
        <s v="All The Stars (with SZA) - From &quot;Black Panther: The Album&quot;"/>
        <s v="Abracadabra"/>
        <s v="Taste"/>
        <s v="Who"/>
        <s v="Golden"/>
        <s v="we can't be friends (wait for your love)"/>
        <s v="undressed"/>
        <s v="DtMF"/>
        <s v="VeLDÁ"/>
        <s v="Sweater Weather"/>
        <s v="Pink Pony Club"/>
        <s v="Lose Control"/>
        <s v="See You Again (feat. Kali Uchis)"/>
        <s v="That’s So True"/>
        <s v="Die With A Smile"/>
        <s v="Creep"/>
        <s v="Sailor Song"/>
        <s v="Beautiful Things"/>
        <s v="WILDFLOWER"/>
        <s v="I Wanna Be Yours"/>
        <s v="The Night We Met"/>
        <s v="back to friends"/>
        <s v="Yellow"/>
        <s v="Ordinary"/>
        <s v="EoO"/>
        <s v="Iris"/>
        <s v="One Of The Girls (with JENNIE, Lily Rose Depp)"/>
        <s v="BAILE INoLVIDABLE"/>
        <s v="VOY A LLeVARTE PA PR"/>
        <s v="NUEVAYoL"/>
      </sharedItems>
    </cacheField>
    <cacheField name="Album Name" numFmtId="0">
      <sharedItems/>
    </cacheField>
    <cacheField name="Artist Name(s)" numFmtId="0">
      <sharedItems count="41">
        <s v="KAROL G"/>
        <s v="Kendrick Lamar"/>
        <s v="W Sound;Beéle;Ovy On The Drums"/>
        <s v="Alleh;Yorghaki"/>
        <s v="Tate McRae"/>
        <s v="Kendrick Lamar;Lefty Gunplay"/>
        <s v="Rauw Alejandro;Bad Bunny"/>
        <s v="The Police"/>
        <s v="JENNIE"/>
        <s v="Lola Young"/>
        <s v="Ravyn Lenae"/>
        <s v="ROSÉ;Bruno Mars"/>
        <s v="The Weeknd;Playboi Carti"/>
        <s v="Billie Eilish"/>
        <s v="yung kai"/>
        <s v="Jin"/>
        <s v="Kendrick Lamar;SZA"/>
        <s v="The Marías"/>
        <s v="Chappell Roan"/>
        <s v="Sabrina Carpenter"/>
        <s v="Lady Gaga"/>
        <s v="Jimin"/>
        <s v="HUNTR/X;EJAE;AUDREY NUNA;REI AMI;KPop Demon Hunters Cast"/>
        <s v="Ariana Grande"/>
        <s v="sombr"/>
        <s v="Bad Bunny"/>
        <s v="Bad Bunny;Omar Courtz;Dei V"/>
        <s v="The Neighbourhood"/>
        <s v="Teddy Swims"/>
        <s v="Tyler, The Creator;Kali Uchis"/>
        <s v="Gracie Abrams"/>
        <s v="Lady Gaga;Bruno Mars"/>
        <s v="Radiohead"/>
        <s v="Gigi Perez"/>
        <s v="Benson Boone"/>
        <s v="Arctic Monkeys"/>
        <s v="Lord Huron"/>
        <s v="Coldplay"/>
        <s v="Alex Warren"/>
        <s v="The Goo Goo Dolls"/>
        <s v="The Weeknd;JENNIE;Lily-Rose Depp"/>
      </sharedItems>
    </cacheField>
    <cacheField name="Release Date" numFmtId="0">
      <sharedItems containsSemiMixedTypes="0" containsDate="1" containsString="0" containsMixedTypes="1" minDate="1983-06-17T00:00:00" maxDate="2025-01-06T00:00:00"/>
    </cacheField>
    <cacheField name="Duration (ms)" numFmtId="0">
      <sharedItems containsSemiMixedTypes="0" containsString="0" containsNumber="1" containsInteger="1" minValue="123517" maxValue="367725"/>
    </cacheField>
    <cacheField name="Popularity" numFmtId="0">
      <sharedItems containsSemiMixedTypes="0" containsString="0" containsNumber="1" containsInteger="1" minValue="73" maxValue="100"/>
    </cacheField>
    <cacheField name="Explicit" numFmtId="0">
      <sharedItems/>
    </cacheField>
    <cacheField name="Added At" numFmtId="0">
      <sharedItems/>
    </cacheField>
    <cacheField name="Genres" numFmtId="0">
      <sharedItems containsBlank="1"/>
    </cacheField>
    <cacheField name="Record Label" numFmtId="0">
      <sharedItems/>
    </cacheField>
    <cacheField name="Danceability" numFmtId="0">
      <sharedItems containsSemiMixedTypes="0" containsString="0" containsNumber="1" minValue="0.14199999999999999" maxValue="0.91600000000000004"/>
    </cacheField>
    <cacheField name="Energy" numFmtId="0">
      <sharedItems containsSemiMixedTypes="0" containsString="0" containsNumber="1" minValue="3.32E-3" maxValue="0.98099999999999998"/>
    </cacheField>
    <cacheField name="Key" numFmtId="0">
      <sharedItems containsSemiMixedTypes="0" containsString="0" containsNumber="1" containsInteger="1" minValue="0" maxValue="11"/>
    </cacheField>
    <cacheField name="Loudness" numFmtId="0">
      <sharedItems containsSemiMixedTypes="0" containsString="0" containsNumber="1" minValue="-46.113" maxValue="-2.2909999999999999"/>
    </cacheField>
    <cacheField name="Mode" numFmtId="0">
      <sharedItems containsSemiMixedTypes="0" containsString="0" containsNumber="1" containsInteger="1" minValue="0" maxValue="1"/>
    </cacheField>
    <cacheField name="Speechiness" numFmtId="0">
      <sharedItems containsSemiMixedTypes="0" containsString="0" containsNumber="1" minValue="2.5600000000000001E-2" maxValue="0.26300000000000001"/>
    </cacheField>
    <cacheField name="Acousticness" numFmtId="0">
      <sharedItems containsSemiMixedTypes="0" containsString="0" containsNumber="1" minValue="9.3700000000000001E-5" maxValue="0.96799999999999997"/>
    </cacheField>
    <cacheField name="Instrumentalness" numFmtId="0">
      <sharedItems containsSemiMixedTypes="0" containsString="0" containsNumber="1" minValue="0" maxValue="0.995"/>
    </cacheField>
    <cacheField name="Liveness" numFmtId="0">
      <sharedItems containsSemiMixedTypes="0" containsString="0" containsNumber="1" minValue="5.5E-2" maxValue="0.63900000000000001"/>
    </cacheField>
    <cacheField name="Valence" numFmtId="0">
      <sharedItems containsSemiMixedTypes="0" containsString="0" containsNumber="1" minValue="1.0000000000000001E-5" maxValue="0.93899999999999995"/>
    </cacheField>
    <cacheField name="Tempo" numFmtId="0">
      <sharedItems containsSemiMixedTypes="0" containsString="0" containsNumber="1" minValue="63.661999999999999" maxValue="174.12100000000001"/>
    </cacheField>
    <cacheField name="Time Signature" numFmtId="0">
      <sharedItems containsSemiMixedTypes="0" containsString="0" containsNumber="1" containsInteger="1" minValue="3" maxValue="4"/>
    </cacheField>
    <cacheField name="Tempo Vibe" numFmtId="0">
      <sharedItems count="2">
        <s v="Fast 🏃‍♂️"/>
        <s v="Chill 🛋️"/>
      </sharedItems>
    </cacheField>
    <cacheField name="Dance Vibe" numFmtId="0">
      <sharedItems count="2">
        <s v="Club Banger 🪩"/>
        <s v="Head Nod 🎧"/>
      </sharedItems>
    </cacheField>
  </cacheFields>
  <extLst>
    <ext xmlns:x14="http://schemas.microsoft.com/office/spreadsheetml/2009/9/main" uri="{725AE2AE-9491-48be-B2B4-4EB974FC3084}">
      <x14:pivotCacheDefinition pivotCacheId="686391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potify:track:73scB4Q4fcOmnsBVZPmk32"/>
    <x v="0"/>
    <s v="Tropicoqueta"/>
    <x v="0"/>
    <d v="2025-06-20T00:00:00"/>
    <n v="195824"/>
    <n v="85"/>
    <b v="0"/>
    <s v="2025-12-03T12:16:11Z"/>
    <s v="reggaeton,latin,urbano latino"/>
    <s v="Bichota/Interscope Records"/>
    <n v="0.91600000000000004"/>
    <n v="0.625"/>
    <n v="11"/>
    <n v="-8.3789999999999996"/>
    <n v="1"/>
    <n v="4.8099999999999997E-2"/>
    <n v="0.44900000000000001"/>
    <n v="2.2599999999999999E-4"/>
    <n v="7.4899999999999994E-2"/>
    <n v="0.76100000000000001"/>
    <n v="128.03299999999999"/>
    <n v="4"/>
    <x v="0"/>
    <x v="0"/>
  </r>
  <r>
    <s v="spotify:track:6AI3ezQ4o3HUoP6Dhudph3"/>
    <x v="1"/>
    <s v="Not Like Us"/>
    <x v="1"/>
    <d v="2024-05-04T00:00:00"/>
    <n v="274192"/>
    <n v="88"/>
    <b v="1"/>
    <s v="2024-12-04T12:15:00Z"/>
    <s v="hip hop,west coast hip hop"/>
    <s v="Kendrick Lamar, under exclusive license to Interscope Records"/>
    <n v="0.89800000000000002"/>
    <n v="0.47199999999999998"/>
    <n v="1"/>
    <n v="-7.0010000000000003"/>
    <n v="1"/>
    <n v="7.7600000000000002E-2"/>
    <n v="1.0699999999999999E-2"/>
    <n v="0"/>
    <n v="0.14099999999999999"/>
    <n v="0.214"/>
    <n v="101.06100000000001"/>
    <n v="4"/>
    <x v="1"/>
    <x v="0"/>
  </r>
  <r>
    <s v="spotify:track:6iOndD4OFo7GkaDypWQIou"/>
    <x v="2"/>
    <s v="La Plena (W Sound 05)"/>
    <x v="2"/>
    <d v="2025-02-19T00:00:00"/>
    <n v="150001"/>
    <n v="88"/>
    <b v="1"/>
    <s v="2025-12-03T12:16:11Z"/>
    <s v="latin afrobeats,reggaeton"/>
    <s v="WEA Latina"/>
    <n v="0.89400000000000002"/>
    <n v="0.64300000000000002"/>
    <n v="5"/>
    <n v="-3.4849999999999999"/>
    <n v="1"/>
    <n v="0.13200000000000001"/>
    <n v="0.54300000000000004"/>
    <n v="9.8400000000000007E-4"/>
    <n v="0.10100000000000001"/>
    <n v="0.65900000000000003"/>
    <n v="99.039000000000001"/>
    <n v="4"/>
    <x v="1"/>
    <x v="0"/>
  </r>
  <r>
    <s v="spotify:track:2dd3G3ZqEcG2cNS1tp3oEk"/>
    <x v="3"/>
    <s v="LA CIUDAD"/>
    <x v="3"/>
    <d v="2024-12-24T00:00:00"/>
    <n v="173858"/>
    <n v="86"/>
    <b v="0"/>
    <s v="2025-12-03T12:16:11Z"/>
    <m/>
    <s v="La Ciudad"/>
    <n v="0.874"/>
    <n v="0.61299999999999999"/>
    <n v="3"/>
    <n v="-5.6180000000000003"/>
    <n v="0"/>
    <n v="0.17100000000000001"/>
    <n v="7.9100000000000004E-2"/>
    <n v="2.0699999999999999E-4"/>
    <n v="0.13500000000000001"/>
    <n v="0.78300000000000003"/>
    <n v="126.935"/>
    <n v="4"/>
    <x v="0"/>
    <x v="0"/>
  </r>
  <r>
    <s v="spotify:track:5UJbgR4XF4y1DvbkxEqe8S"/>
    <x v="4"/>
    <s v="So Close To What"/>
    <x v="4"/>
    <d v="2025-02-20T00:00:00"/>
    <n v="165045"/>
    <n v="86"/>
    <b v="0"/>
    <s v="2025-12-03T12:16:11Z"/>
    <m/>
    <s v="RCA Records Label"/>
    <n v="0.86099999999999999"/>
    <n v="0.81499999999999995"/>
    <n v="11"/>
    <n v="-3.6720000000000002"/>
    <n v="0"/>
    <n v="3.49E-2"/>
    <n v="5.0500000000000003E-2"/>
    <n v="1.39E-3"/>
    <n v="0.1"/>
    <n v="0.88600000000000001"/>
    <n v="106.97799999999999"/>
    <n v="4"/>
    <x v="1"/>
    <x v="0"/>
  </r>
  <r>
    <s v="spotify:track:0aB0v4027ukVziUGwVGYpG"/>
    <x v="5"/>
    <s v="GNX"/>
    <x v="5"/>
    <d v="2024-11-22T00:00:00"/>
    <n v="220690"/>
    <n v="85"/>
    <b v="1"/>
    <s v="2025-12-03T12:16:11Z"/>
    <s v="hip hop,west coast hip hop,mexican hip hop"/>
    <s v="pgLang, under exclusive license to Interscope Records"/>
    <n v="0.85499999999999998"/>
    <n v="0.52900000000000003"/>
    <n v="6"/>
    <n v="-6.6790000000000003"/>
    <n v="0"/>
    <n v="0.26300000000000001"/>
    <n v="8.3699999999999997E-2"/>
    <n v="0"/>
    <n v="0.42299999999999999"/>
    <n v="0.54800000000000004"/>
    <n v="100.036"/>
    <n v="4"/>
    <x v="1"/>
    <x v="0"/>
  </r>
  <r>
    <s v="spotify:track:0l0vcZMU7AOeQmUIREoI2U"/>
    <x v="6"/>
    <s v="Cosa Nuestra"/>
    <x v="6"/>
    <d v="2024-11-15T00:00:00"/>
    <n v="191018"/>
    <n v="91"/>
    <b v="1"/>
    <s v="2025-12-03T12:16:11Z"/>
    <s v="reggaeton,trap latino,urbano latino,latin"/>
    <s v="Sony Music Latin/Duars Entertainment"/>
    <n v="0.83299999999999996"/>
    <n v="0.56299999999999994"/>
    <n v="4"/>
    <n v="-5.593"/>
    <n v="0"/>
    <n v="0.20399999999999999"/>
    <n v="0.52800000000000002"/>
    <n v="1.27E-5"/>
    <n v="0.13900000000000001"/>
    <n v="0.34300000000000003"/>
    <n v="105.008"/>
    <n v="4"/>
    <x v="1"/>
    <x v="0"/>
  </r>
  <r>
    <s v="spotify:track:1JSTJqkT5qHq8MDJnJbRE1"/>
    <x v="7"/>
    <s v="Synchronicity (Remastered 2003)"/>
    <x v="7"/>
    <d v="1983-06-17T00:00:00"/>
    <n v="253920"/>
    <n v="93"/>
    <b v="0"/>
    <s v="2025-12-03T12:16:11Z"/>
    <m/>
    <s v="Polydor Records"/>
    <n v="0.82"/>
    <n v="0.45200000000000001"/>
    <n v="1"/>
    <n v="-9.7959999999999994"/>
    <n v="1"/>
    <n v="3.4799999999999998E-2"/>
    <n v="0.54300000000000004"/>
    <n v="2.9399999999999999E-3"/>
    <n v="7.1400000000000005E-2"/>
    <n v="0.74"/>
    <n v="117.401"/>
    <n v="4"/>
    <x v="1"/>
    <x v="0"/>
  </r>
  <r>
    <s v="spotify:track:0fK7ie6XwGxQTIkpFoWkd1"/>
    <x v="8"/>
    <s v="Ruby"/>
    <x v="8"/>
    <d v="2025-03-07T00:00:00"/>
    <n v="123517"/>
    <n v="88"/>
    <b v="1"/>
    <s v="2025-12-03T12:16:11Z"/>
    <s v="k-pop"/>
    <s v="OA Entertainment/Columbia"/>
    <n v="0.81100000000000005"/>
    <n v="0.74299999999999999"/>
    <n v="10"/>
    <n v="-5.3209999999999997"/>
    <n v="0"/>
    <n v="6.1100000000000002E-2"/>
    <n v="0.28100000000000003"/>
    <n v="6.7099999999999998E-3"/>
    <n v="8.6800000000000002E-2"/>
    <n v="0.81499999999999995"/>
    <n v="130.01900000000001"/>
    <n v="4"/>
    <x v="0"/>
    <x v="0"/>
  </r>
  <r>
    <s v="spotify:track:35ISBknsCeZQtq66xABI9g"/>
    <x v="9"/>
    <s v="This Wasn't Meant For You Anyway"/>
    <x v="9"/>
    <d v="2024-06-21T00:00:00"/>
    <n v="284066"/>
    <n v="83"/>
    <b v="1"/>
    <s v="2025-12-03T12:16:11Z"/>
    <m/>
    <s v="Universal-Island Records Ltd."/>
    <n v="0.79800000000000004"/>
    <n v="0.56200000000000006"/>
    <n v="9"/>
    <n v="-5.9130000000000003"/>
    <n v="1"/>
    <n v="3.7499999999999999E-2"/>
    <n v="0.11"/>
    <n v="6.0600000000000003E-3"/>
    <n v="0.122"/>
    <n v="0.64700000000000002"/>
    <n v="110.991"/>
    <n v="4"/>
    <x v="1"/>
    <x v="0"/>
  </r>
  <r>
    <s v="spotify:track:4WFgvKVfEhb3IUAFGrutTR"/>
    <x v="10"/>
    <s v="Bird's Eye"/>
    <x v="10"/>
    <d v="2024-08-09T00:00:00"/>
    <n v="213466"/>
    <n v="89"/>
    <b v="0"/>
    <s v="2025-12-03T12:16:11Z"/>
    <s v="alternative r&amp;b,indie soul"/>
    <s v="Atlantic Records"/>
    <n v="0.77900000000000003"/>
    <n v="0.73099999999999998"/>
    <n v="0"/>
    <n v="-6.1760000000000002"/>
    <n v="1"/>
    <n v="3.0599999999999999E-2"/>
    <n v="0.29599999999999999"/>
    <n v="0"/>
    <n v="0.128"/>
    <n v="0.81399999999999995"/>
    <n v="114.001"/>
    <n v="4"/>
    <x v="1"/>
    <x v="0"/>
  </r>
  <r>
    <s v="spotify:track:4wJ5Qq0jBN4ajy7ouZIV1c"/>
    <x v="11"/>
    <s v="rosie"/>
    <x v="11"/>
    <d v="2024-12-06T00:00:00"/>
    <n v="169917"/>
    <n v="84"/>
    <b v="0"/>
    <s v="2025-12-03T12:16:11Z"/>
    <s v="k-pop"/>
    <s v="Atlantic Records"/>
    <n v="0.77700000000000002"/>
    <n v="0.78300000000000003"/>
    <n v="0"/>
    <n v="-4.4770000000000003"/>
    <n v="0"/>
    <n v="0.26"/>
    <n v="2.8299999999999999E-2"/>
    <n v="0"/>
    <n v="0.35499999999999998"/>
    <n v="0.93899999999999995"/>
    <n v="149.02699999999999"/>
    <n v="4"/>
    <x v="0"/>
    <x v="0"/>
  </r>
  <r>
    <s v="spotify:track:0FIDCNYYjNvPVimz5icugS"/>
    <x v="12"/>
    <s v="Hurry Up Tomorrow"/>
    <x v="12"/>
    <d v="2025-01-31T00:00:00"/>
    <n v="256000"/>
    <n v="90"/>
    <b v="1"/>
    <s v="2025-12-03T12:16:11Z"/>
    <s v="rage rap"/>
    <s v="XO / Republic Records"/>
    <n v="0.76800000000000002"/>
    <n v="0.77500000000000002"/>
    <n v="11"/>
    <n v="-5.0599999999999996"/>
    <n v="0"/>
    <n v="4.6600000000000003E-2"/>
    <n v="6.9000000000000006E-2"/>
    <n v="2.96E-6"/>
    <n v="0.13800000000000001"/>
    <n v="0.6"/>
    <n v="119.999"/>
    <n v="4"/>
    <x v="1"/>
    <x v="0"/>
  </r>
  <r>
    <s v="spotify:track:6dOtVTDdiauQNBQEDOtlAB"/>
    <x v="13"/>
    <s v="HIT ME HARD AND SOFT"/>
    <x v="13"/>
    <d v="2024-05-17T00:00:00"/>
    <n v="210373"/>
    <n v="94"/>
    <b v="0"/>
    <s v="2024-12-04T12:15:00Z"/>
    <m/>
    <s v="Darkroom/Interscope Records"/>
    <n v="0.747"/>
    <n v="0.50700000000000001"/>
    <n v="2"/>
    <n v="-10.170999999999999"/>
    <n v="1"/>
    <n v="3.5799999999999998E-2"/>
    <n v="0.2"/>
    <n v="6.08E-2"/>
    <n v="0.11700000000000001"/>
    <n v="0.438"/>
    <n v="104.97799999999999"/>
    <n v="4"/>
    <x v="1"/>
    <x v="0"/>
  </r>
  <r>
    <s v="spotify:track:6W614n8yLUeS3zsZSeBwyq"/>
    <x v="14"/>
    <s v="stay with the ocean, i'll find you"/>
    <x v="14"/>
    <d v="2025-09-26T00:00:00"/>
    <n v="214357"/>
    <n v="73"/>
    <b v="0"/>
    <s v="2025-12-03T12:16:11Z"/>
    <m/>
    <s v="BMG Rights Management (US) LLC"/>
    <n v="0.746"/>
    <n v="0.317"/>
    <n v="4"/>
    <n v="-11.981999999999999"/>
    <n v="1"/>
    <n v="3.4200000000000001E-2"/>
    <n v="0.93300000000000005"/>
    <n v="1.8599999999999998E-2"/>
    <n v="0.121"/>
    <n v="0.58499999999999996"/>
    <n v="97.49"/>
    <n v="3"/>
    <x v="1"/>
    <x v="0"/>
  </r>
  <r>
    <s v="spotify:track:27xkOIER6uDLKALIelHylZ"/>
    <x v="15"/>
    <s v="Echo"/>
    <x v="15"/>
    <d v="2025-05-16T00:00:00"/>
    <n v="180716"/>
    <n v="85"/>
    <b v="0"/>
    <s v="2025-12-03T12:16:11Z"/>
    <s v="k-pop"/>
    <s v="BIGHIT MUSIC"/>
    <n v="0.72899999999999998"/>
    <n v="0.56200000000000006"/>
    <n v="8"/>
    <n v="-5.49"/>
    <n v="1"/>
    <n v="3.04E-2"/>
    <n v="0.48399999999999999"/>
    <n v="0"/>
    <n v="0.105"/>
    <n v="0.75700000000000001"/>
    <n v="111.976"/>
    <n v="4"/>
    <x v="1"/>
    <x v="0"/>
  </r>
  <r>
    <s v="spotify:track:2CGNAOSuO1MEFCbBRgUzjd"/>
    <x v="16"/>
    <s v="GNX"/>
    <x v="16"/>
    <d v="2024-11-21T00:00:00"/>
    <n v="177598"/>
    <n v="86"/>
    <b v="0"/>
    <s v="2025-12-03T12:16:11Z"/>
    <s v="hip hop,west coast hip hop,r&amp;b"/>
    <s v="pgLang, under exclusive license to Interscope Records"/>
    <n v="0.70699999999999996"/>
    <n v="0.57499999999999996"/>
    <n v="2"/>
    <n v="-7.5460000000000003"/>
    <n v="1"/>
    <n v="0.125"/>
    <n v="0.251"/>
    <n v="0"/>
    <n v="0.248"/>
    <n v="0.57599999999999996"/>
    <n v="138.00800000000001"/>
    <n v="4"/>
    <x v="0"/>
    <x v="0"/>
  </r>
  <r>
    <s v="spotify:track:3siwsiaEoU4Kuuc9WKMUy5"/>
    <x v="17"/>
    <s v="Submarine"/>
    <x v="17"/>
    <d v="2024-05-31T00:00:00"/>
    <n v="236906"/>
    <n v="90"/>
    <b v="0"/>
    <s v="2025-12-03T12:16:11Z"/>
    <s v="bedroom pop"/>
    <s v="Nice Life/Atlantic"/>
    <n v="0.70499999999999996"/>
    <n v="0.33900000000000002"/>
    <n v="7"/>
    <n v="-10.612"/>
    <n v="1"/>
    <n v="2.7799999999999998E-2"/>
    <n v="0.55200000000000005"/>
    <n v="8.14E-2"/>
    <n v="0.12"/>
    <n v="0.45700000000000002"/>
    <n v="97.989000000000004"/>
    <n v="4"/>
    <x v="1"/>
    <x v="0"/>
  </r>
  <r>
    <s v="spotify:track:0WbMK4wrZ1wFSty9F7FCgu"/>
    <x v="18"/>
    <s v="Good Luck, Babe!"/>
    <x v="18"/>
    <d v="2024-04-05T00:00:00"/>
    <n v="218423"/>
    <n v="90"/>
    <b v="0"/>
    <s v="2024-12-04T12:15:00Z"/>
    <m/>
    <s v="Chappell Roan PS/ Island"/>
    <n v="0.7"/>
    <n v="0.58199999999999996"/>
    <n v="11"/>
    <n v="-5.96"/>
    <n v="0"/>
    <n v="3.56E-2"/>
    <n v="5.0200000000000002E-2"/>
    <n v="0"/>
    <n v="8.8099999999999998E-2"/>
    <n v="0.78500000000000003"/>
    <n v="116.712"/>
    <n v="4"/>
    <x v="1"/>
    <x v="0"/>
  </r>
  <r>
    <s v="spotify:track:2HRqTpkrJO5ggZyyK6NPWz"/>
    <x v="19"/>
    <s v="Short n' Sweet"/>
    <x v="19"/>
    <d v="2024-08-23T00:00:00"/>
    <n v="175459"/>
    <n v="87"/>
    <b v="1"/>
    <s v="2024-12-04T12:15:00Z"/>
    <s v="pop"/>
    <s v="Island Records"/>
    <n v="0.69899999999999995"/>
    <n v="0.77600000000000002"/>
    <n v="0"/>
    <n v="-5.282"/>
    <n v="1"/>
    <n v="2.93E-2"/>
    <n v="0.13100000000000001"/>
    <n v="5.3600000000000004E-6"/>
    <n v="0.20499999999999999"/>
    <n v="0.70799999999999996"/>
    <n v="103.96299999999999"/>
    <n v="4"/>
    <x v="1"/>
    <x v="0"/>
  </r>
  <r>
    <s v="spotify:track:3GCdLUSnKSMJhs4Tj6CV3s"/>
    <x v="20"/>
    <s v="Black Panther The Album Music From And Inspired By"/>
    <x v="16"/>
    <d v="2018-02-09T00:00:00"/>
    <n v="232186"/>
    <n v="90"/>
    <b v="1"/>
    <s v="2025-12-03T12:16:11Z"/>
    <s v="hip hop,west coast hip hop,r&amp;b"/>
    <s v="Black Panther (TDE/DMG) PS"/>
    <n v="0.69499999999999995"/>
    <n v="0.63300000000000001"/>
    <n v="8"/>
    <n v="-4.9459999999999997"/>
    <n v="1"/>
    <n v="5.9900000000000002E-2"/>
    <n v="6.1199999999999997E-2"/>
    <n v="1.95E-4"/>
    <n v="9.2600000000000002E-2"/>
    <n v="0.55700000000000005"/>
    <n v="96.781999999999996"/>
    <n v="4"/>
    <x v="1"/>
    <x v="0"/>
  </r>
  <r>
    <s v="spotify:track:2LHNTC9QZxsL3nWpt8iaSR"/>
    <x v="21"/>
    <s v="MAYHEM"/>
    <x v="20"/>
    <d v="2025-03-07T00:00:00"/>
    <n v="223398"/>
    <n v="82"/>
    <b v="0"/>
    <s v="2025-12-03T12:16:11Z"/>
    <s v="art pop,pop"/>
    <s v="Interscope Records"/>
    <n v="0.67900000000000005"/>
    <n v="0.90600000000000003"/>
    <n v="10"/>
    <n v="-3.4430000000000001"/>
    <n v="0"/>
    <n v="6.3200000000000006E-2"/>
    <n v="1.1900000000000001E-2"/>
    <n v="0"/>
    <n v="0.22900000000000001"/>
    <n v="0.65200000000000002"/>
    <n v="126.01"/>
    <n v="4"/>
    <x v="0"/>
    <x v="0"/>
  </r>
  <r>
    <s v="spotify:track:5G2f63n7IPVPPjfNIGih7Q"/>
    <x v="22"/>
    <s v="Short n' Sweet"/>
    <x v="19"/>
    <d v="2024-08-23T00:00:00"/>
    <n v="157279"/>
    <n v="86"/>
    <b v="0"/>
    <s v="2025-12-03T12:16:11Z"/>
    <s v="pop"/>
    <s v="Island Records"/>
    <n v="0.67400000000000004"/>
    <n v="0.90700000000000003"/>
    <n v="3"/>
    <n v="-4.0860000000000003"/>
    <n v="1"/>
    <n v="6.4000000000000001E-2"/>
    <n v="0.10100000000000001"/>
    <n v="0"/>
    <n v="0.29699999999999999"/>
    <n v="0.72099999999999997"/>
    <n v="112.964"/>
    <n v="4"/>
    <x v="1"/>
    <x v="0"/>
  </r>
  <r>
    <s v="spotify:track:7tI8dRuH2Yc6RuoTjxo4dU"/>
    <x v="23"/>
    <s v="MUSE"/>
    <x v="21"/>
    <d v="2024-07-19T00:00:00"/>
    <n v="170887"/>
    <n v="85"/>
    <b v="0"/>
    <s v="2024-12-04T12:15:00Z"/>
    <s v="k-pop"/>
    <s v="BIGHIT MUSIC"/>
    <n v="0.66"/>
    <n v="0.75600000000000001"/>
    <n v="0"/>
    <n v="-3.7429999999999999"/>
    <n v="0"/>
    <n v="3.2000000000000001E-2"/>
    <n v="2.8900000000000002E-3"/>
    <n v="0"/>
    <n v="0.193"/>
    <n v="0.83799999999999997"/>
    <n v="116.03400000000001"/>
    <n v="4"/>
    <x v="1"/>
    <x v="0"/>
  </r>
  <r>
    <s v="spotify:track:1CPZ5BxNNd0n0nF4Orb9JS"/>
    <x v="24"/>
    <s v="KPop Demon Hunters (Soundtrack from the Netflix Film)"/>
    <x v="22"/>
    <d v="2025-06-20T00:00:00"/>
    <n v="194607"/>
    <n v="95"/>
    <b v="0"/>
    <s v="2025-12-03T12:16:11Z"/>
    <s v="k-pop"/>
    <s v="K-Pop Demon Hunters"/>
    <n v="0.65100000000000002"/>
    <n v="0.68600000000000005"/>
    <n v="4"/>
    <n v="-4.3710000000000004"/>
    <n v="0"/>
    <n v="6.1600000000000002E-2"/>
    <n v="9.6600000000000005E-2"/>
    <n v="0"/>
    <n v="0.185"/>
    <n v="0.104"/>
    <n v="122.715"/>
    <n v="3"/>
    <x v="0"/>
    <x v="0"/>
  </r>
  <r>
    <s v="spotify:track:51ZQ1vr10ffzbwIjDCwqm4"/>
    <x v="25"/>
    <s v="eternal sunshine"/>
    <x v="23"/>
    <d v="2024-03-08T00:00:00"/>
    <n v="228639"/>
    <n v="86"/>
    <b v="0"/>
    <s v="2024-12-04T12:15:00Z"/>
    <s v="pop"/>
    <s v="Republic Records"/>
    <n v="0.64500000000000002"/>
    <n v="0.64600000000000002"/>
    <n v="5"/>
    <n v="-8.3339999999999996"/>
    <n v="1"/>
    <n v="4.2700000000000002E-2"/>
    <n v="6.1499999999999999E-2"/>
    <n v="3.04E-5"/>
    <n v="7.3999999999999996E-2"/>
    <n v="0.29499999999999998"/>
    <n v="115.842"/>
    <n v="4"/>
    <x v="1"/>
    <x v="1"/>
  </r>
  <r>
    <s v="spotify:track:0TFTAtCYhp2tQ9KcJIZb55"/>
    <x v="26"/>
    <s v="I Barely Know Her"/>
    <x v="24"/>
    <d v="2025-08-22T00:00:00"/>
    <n v="182088"/>
    <n v="88"/>
    <b v="0"/>
    <s v="2025-12-03T12:16:11Z"/>
    <m/>
    <s v="Warner Records"/>
    <n v="0.64200000000000002"/>
    <n v="0.88700000000000001"/>
    <n v="0"/>
    <n v="-3.883"/>
    <n v="1"/>
    <n v="4.0599999999999997E-2"/>
    <n v="0.13700000000000001"/>
    <n v="0"/>
    <n v="8.2900000000000001E-2"/>
    <n v="0.88800000000000001"/>
    <n v="115.999"/>
    <n v="4"/>
    <x v="1"/>
    <x v="1"/>
  </r>
  <r>
    <s v="spotify:track:3sK8wGT43QFpWrvNQsrQya"/>
    <x v="27"/>
    <s v="DeBÍ TiRAR MáS FOToS"/>
    <x v="25"/>
    <d v="2025-01-05T00:00:00"/>
    <n v="237117"/>
    <n v="100"/>
    <b v="1"/>
    <s v="2025-12-03T12:16:11Z"/>
    <s v="reggaeton,trap latino,latin,urbano latino"/>
    <s v="Rimas Entertainment LLC."/>
    <n v="0.625"/>
    <n v="0.13100000000000001"/>
    <n v="7"/>
    <n v="-27.405000000000001"/>
    <n v="0"/>
    <n v="7.17E-2"/>
    <n v="0.17699999999999999"/>
    <n v="0.218"/>
    <n v="8.0699999999999994E-2"/>
    <n v="3.2000000000000001E-2"/>
    <n v="136.02000000000001"/>
    <n v="4"/>
    <x v="0"/>
    <x v="1"/>
  </r>
  <r>
    <s v="spotify:track:7d6yK8v8J484SWH5prIQiE"/>
    <x v="28"/>
    <s v="DeBÍ TiRAR MáS FOToS"/>
    <x v="26"/>
    <d v="2025-01-05T00:00:00"/>
    <n v="235336"/>
    <n v="91"/>
    <b v="1"/>
    <s v="2025-12-03T12:16:11Z"/>
    <s v="reggaeton,trap latino,latin,urbano latino"/>
    <s v="Rimas Entertainment LLC."/>
    <n v="0.61299999999999999"/>
    <n v="0.98099999999999998"/>
    <n v="1"/>
    <n v="-18.638000000000002"/>
    <n v="1"/>
    <n v="0.14899999999999999"/>
    <n v="0.28999999999999998"/>
    <n v="2.3E-3"/>
    <n v="0.437"/>
    <n v="3.3700000000000001E-2"/>
    <n v="101.852"/>
    <n v="3"/>
    <x v="1"/>
    <x v="1"/>
  </r>
  <r>
    <s v="spotify:track:2QjOHCTQ1Jl3zawyYOpxh6"/>
    <x v="29"/>
    <s v="I Love You."/>
    <x v="27"/>
    <d v="2013-04-22T00:00:00"/>
    <n v="240400"/>
    <n v="92"/>
    <b v="0"/>
    <s v="2024-12-04T12:15:00Z"/>
    <m/>
    <s v="Columbia"/>
    <n v="0.61199999999999999"/>
    <n v="0.80700000000000005"/>
    <n v="10"/>
    <n v="-2.81"/>
    <n v="1"/>
    <n v="3.3599999999999998E-2"/>
    <n v="4.9500000000000002E-2"/>
    <n v="1.77E-2"/>
    <n v="0.10100000000000001"/>
    <n v="0.39800000000000002"/>
    <n v="124.053"/>
    <n v="4"/>
    <x v="0"/>
    <x v="1"/>
  </r>
  <r>
    <s v="spotify:track:6393yGahSJ9slVdOwSxOVR"/>
    <x v="30"/>
    <s v="The Rise and Fall of a Midwest Princess"/>
    <x v="18"/>
    <d v="2023-09-21T00:00:00"/>
    <n v="258034"/>
    <n v="83"/>
    <b v="0"/>
    <s v="2025-12-03T12:16:11Z"/>
    <m/>
    <s v="Chappell Roan PS/ Island"/>
    <n v="0.61"/>
    <n v="0.65"/>
    <n v="6"/>
    <n v="-6.1989999999999998"/>
    <n v="1"/>
    <n v="4.7399999999999998E-2"/>
    <n v="0.39900000000000002"/>
    <n v="0"/>
    <n v="0.11"/>
    <n v="0.50700000000000001"/>
    <n v="106.71899999999999"/>
    <n v="4"/>
    <x v="1"/>
    <x v="1"/>
  </r>
  <r>
    <s v="spotify:track:17phhZDn6oGtzMe56NuWvj"/>
    <x v="31"/>
    <s v="I've Tried Everything But Therapy (Part 1)"/>
    <x v="28"/>
    <d v="2023-09-15T00:00:00"/>
    <n v="210688"/>
    <n v="89"/>
    <b v="0"/>
    <s v="2024-12-04T12:15:00Z"/>
    <m/>
    <s v="Warner Records"/>
    <n v="0.56100000000000005"/>
    <n v="0.60399999999999998"/>
    <n v="9"/>
    <n v="-4.4089999999999998"/>
    <n v="1"/>
    <n v="3.3700000000000001E-2"/>
    <n v="0.19900000000000001"/>
    <n v="1.9000000000000001E-5"/>
    <n v="0.104"/>
    <n v="0.24199999999999999"/>
    <n v="159.91999999999999"/>
    <n v="3"/>
    <x v="0"/>
    <x v="1"/>
  </r>
  <r>
    <s v="spotify:track:7KA4W4McWYRpgf0fWsJZWB"/>
    <x v="32"/>
    <s v="Flower Boy"/>
    <x v="29"/>
    <d v="2017-07-21T00:00:00"/>
    <n v="180386"/>
    <n v="89"/>
    <b v="1"/>
    <s v="2023-11-29T12:16:00Z"/>
    <m/>
    <s v="Columbia"/>
    <n v="0.55800000000000005"/>
    <n v="0.55900000000000005"/>
    <n v="6"/>
    <n v="-9.2219999999999995"/>
    <n v="1"/>
    <n v="9.5899999999999999E-2"/>
    <n v="0.371"/>
    <n v="7.4900000000000003E-6"/>
    <n v="0.109"/>
    <n v="0.62"/>
    <n v="78.558000000000007"/>
    <n v="4"/>
    <x v="1"/>
    <x v="1"/>
  </r>
  <r>
    <s v="spotify:track:7ne4VBA60CxGM75vw0EYad"/>
    <x v="33"/>
    <s v="The Secret of Us (Deluxe)"/>
    <x v="30"/>
    <d v="2024-10-18T00:00:00"/>
    <n v="166300"/>
    <n v="90"/>
    <b v="1"/>
    <s v="2025-12-03T12:16:11Z"/>
    <m/>
    <s v="Gracie Abrams, under exclusive license to Interscope Records"/>
    <n v="0.55400000000000005"/>
    <n v="0.80800000000000005"/>
    <n v="1"/>
    <n v="-4.1689999999999996"/>
    <n v="1"/>
    <n v="3.6799999999999999E-2"/>
    <n v="0.214"/>
    <n v="0"/>
    <n v="0.159"/>
    <n v="0.372"/>
    <n v="108.548"/>
    <n v="4"/>
    <x v="1"/>
    <x v="1"/>
  </r>
  <r>
    <s v="spotify:track:7so0lgd0zP2Sbgs2d7a1SZ"/>
    <x v="34"/>
    <s v="MAYHEM"/>
    <x v="31"/>
    <d v="2025-03-07T00:00:00"/>
    <n v="251667"/>
    <n v="88"/>
    <b v="0"/>
    <s v="2025-12-03T12:16:11Z"/>
    <s v="art pop,pop"/>
    <s v="Interscope Records"/>
    <n v="0.51900000000000002"/>
    <n v="0.60099999999999998"/>
    <n v="6"/>
    <n v="-7.7270000000000003"/>
    <n v="0"/>
    <n v="3.1699999999999999E-2"/>
    <n v="0.28899999999999998"/>
    <n v="0"/>
    <n v="0.126"/>
    <n v="0.498"/>
    <n v="157.964"/>
    <n v="3"/>
    <x v="0"/>
    <x v="1"/>
  </r>
  <r>
    <s v="spotify:track:70LcF31zb1H0PyJoS1Sx1r"/>
    <x v="35"/>
    <s v="Pablo Honey"/>
    <x v="32"/>
    <d v="1993-02-22T00:00:00"/>
    <n v="238640"/>
    <n v="92"/>
    <b v="1"/>
    <s v="2025-12-03T12:16:11Z"/>
    <s v="art rock,alternative rock"/>
    <s v="XL Recordings"/>
    <n v="0.51500000000000001"/>
    <n v="0.43"/>
    <n v="7"/>
    <n v="-9.9350000000000005"/>
    <n v="1"/>
    <n v="3.7199999999999997E-2"/>
    <n v="9.7000000000000003E-3"/>
    <n v="1.3300000000000001E-4"/>
    <n v="0.129"/>
    <n v="0.104"/>
    <n v="91.843999999999994"/>
    <n v="4"/>
    <x v="1"/>
    <x v="1"/>
  </r>
  <r>
    <s v="spotify:track:21IYMdzTrzSe191Cy5eMap"/>
    <x v="36"/>
    <s v="At The Beach, In Every Life"/>
    <x v="33"/>
    <d v="2025-04-25T00:00:00"/>
    <n v="211978"/>
    <n v="88"/>
    <b v="0"/>
    <s v="2025-12-03T12:16:11Z"/>
    <m/>
    <s v="Outtahere, LLC / Island Records"/>
    <n v="0.499"/>
    <n v="0.39200000000000002"/>
    <n v="11"/>
    <n v="-10.441000000000001"/>
    <n v="1"/>
    <n v="2.6200000000000001E-2"/>
    <n v="0.627"/>
    <n v="7.1000000000000005E-5"/>
    <n v="0.192"/>
    <n v="0.27200000000000002"/>
    <n v="95.075999999999993"/>
    <n v="4"/>
    <x v="1"/>
    <x v="1"/>
  </r>
  <r>
    <s v="spotify:track:3xkHsmpQCBMytMJNiDf3Ii"/>
    <x v="37"/>
    <s v="Fireworks &amp; Rollerblades"/>
    <x v="34"/>
    <d v="2024-04-05T00:00:00"/>
    <n v="180304"/>
    <n v="88"/>
    <b v="0"/>
    <s v="2024-12-04T12:15:00Z"/>
    <m/>
    <s v="Night Street Records, Inc./Warner Records Inc."/>
    <n v="0.47199999999999998"/>
    <n v="0.47099999999999997"/>
    <n v="10"/>
    <n v="-5.6920000000000002"/>
    <n v="1"/>
    <n v="6.0299999999999999E-2"/>
    <n v="0.151"/>
    <n v="0"/>
    <n v="0.14000000000000001"/>
    <n v="0.219"/>
    <n v="105.029"/>
    <n v="3"/>
    <x v="1"/>
    <x v="1"/>
  </r>
  <r>
    <s v="spotify:track:3QaPy1KgI7nu9FJEQUgn6h"/>
    <x v="38"/>
    <s v="HIT ME HARD AND SOFT"/>
    <x v="13"/>
    <d v="2024-05-17T00:00:00"/>
    <n v="261466"/>
    <n v="92"/>
    <b v="0"/>
    <s v="2025-12-03T12:16:11Z"/>
    <m/>
    <s v="Darkroom/Interscope Records"/>
    <n v="0.46700000000000003"/>
    <n v="0.247"/>
    <n v="6"/>
    <n v="-12.002000000000001"/>
    <n v="0"/>
    <n v="4.3099999999999999E-2"/>
    <n v="0.61199999999999999"/>
    <n v="2.7099999999999997E-4"/>
    <n v="0.17"/>
    <n v="0.126"/>
    <n v="148.101"/>
    <n v="4"/>
    <x v="0"/>
    <x v="1"/>
  </r>
  <r>
    <s v="spotify:track:5XeFesFbtLpXzIVDNQP22n"/>
    <x v="39"/>
    <s v="AM"/>
    <x v="35"/>
    <d v="2013-09-09T00:00:00"/>
    <n v="183956"/>
    <n v="92"/>
    <b v="0"/>
    <s v="2023-11-29T12:16:00Z"/>
    <s v="indie,garage rock"/>
    <s v="Domino Recording Co"/>
    <n v="0.46400000000000002"/>
    <n v="0.41699999999999998"/>
    <n v="0"/>
    <n v="-9.3450000000000006"/>
    <n v="0"/>
    <n v="2.5600000000000001E-2"/>
    <n v="0.13600000000000001"/>
    <n v="2.1999999999999999E-2"/>
    <n v="9.74E-2"/>
    <n v="0.47899999999999998"/>
    <n v="67.528000000000006"/>
    <n v="4"/>
    <x v="1"/>
    <x v="1"/>
  </r>
  <r>
    <s v="spotify:track:5yJaXWIErrrsjQ3J0eR5aK"/>
    <x v="40"/>
    <s v="Strange Trails"/>
    <x v="36"/>
    <d v="2015-04-07T00:00:00"/>
    <n v="208226"/>
    <n v="89"/>
    <b v="0"/>
    <s v="2024-12-04T12:15:00Z"/>
    <m/>
    <s v="Lord Huron"/>
    <n v="0.44"/>
    <n v="0.378"/>
    <n v="2"/>
    <n v="-9.5449999999999999"/>
    <n v="1"/>
    <n v="4.4999999999999998E-2"/>
    <n v="0.96799999999999997"/>
    <n v="0.27200000000000002"/>
    <n v="0.63900000000000001"/>
    <n v="0.105"/>
    <n v="174.12100000000001"/>
    <n v="3"/>
    <x v="0"/>
    <x v="1"/>
  </r>
  <r>
    <s v="spotify:track:7qjZnBKE73H4Oxkopwulqe"/>
    <x v="41"/>
    <s v="I Barely Know Her"/>
    <x v="24"/>
    <d v="2025-08-22T00:00:00"/>
    <n v="199032"/>
    <n v="92"/>
    <b v="0"/>
    <s v="2025-12-03T12:16:11Z"/>
    <m/>
    <s v="Warner Records"/>
    <n v="0.436"/>
    <n v="0.72299999999999998"/>
    <n v="1"/>
    <n v="-2.2909999999999999"/>
    <n v="1"/>
    <n v="3.0099999999999998E-2"/>
    <n v="9.3700000000000001E-5"/>
    <n v="8.8200000000000003E-5"/>
    <n v="9.2899999999999996E-2"/>
    <n v="0.23499999999999999"/>
    <n v="92.855000000000004"/>
    <n v="4"/>
    <x v="1"/>
    <x v="1"/>
  </r>
  <r>
    <s v="spotify:track:3AJwUDP919kvQ9QcozQPxg"/>
    <x v="42"/>
    <s v="Parachutes"/>
    <x v="37"/>
    <d v="2000-07-10T00:00:00"/>
    <n v="266773"/>
    <n v="91"/>
    <b v="0"/>
    <s v="2024-12-04T12:15:00Z"/>
    <m/>
    <s v="Parlophone UK"/>
    <n v="0.42899999999999999"/>
    <n v="0.66100000000000003"/>
    <n v="11"/>
    <n v="-7.2270000000000003"/>
    <n v="1"/>
    <n v="2.81E-2"/>
    <n v="2.3900000000000002E-3"/>
    <n v="1.21E-4"/>
    <n v="0.23400000000000001"/>
    <n v="0.28499999999999998"/>
    <n v="173.37200000000001"/>
    <n v="4"/>
    <x v="0"/>
    <x v="1"/>
  </r>
  <r>
    <s v="spotify:track:2RkZ5LkEzeHGRsmDqKwmaJ"/>
    <x v="43"/>
    <s v="You'll Be Alright, Kid (Chapter 1)"/>
    <x v="38"/>
    <d v="2024-09-26T00:00:00"/>
    <n v="186964"/>
    <n v="91"/>
    <b v="0"/>
    <s v="2025-12-03T12:16:11Z"/>
    <m/>
    <s v="Atlantic Records"/>
    <n v="0.36799999999999999"/>
    <n v="0.69399999999999995"/>
    <n v="2"/>
    <n v="-6.141"/>
    <n v="1"/>
    <n v="0.06"/>
    <n v="0.70399999999999996"/>
    <n v="6.5899999999999996E-6"/>
    <n v="5.5E-2"/>
    <n v="0.39100000000000001"/>
    <n v="168.11500000000001"/>
    <n v="3"/>
    <x v="0"/>
    <x v="1"/>
  </r>
  <r>
    <s v="spotify:track:6J5kc12BW5HuP3d7C3vvx8"/>
    <x v="44"/>
    <s v="DeBÍ TiRAR MáS FOToS"/>
    <x v="25"/>
    <d v="2025-01-05T00:00:00"/>
    <n v="204768"/>
    <n v="95"/>
    <b v="1"/>
    <s v="2025-12-03T12:16:11Z"/>
    <s v="reggaeton,trap latino,latin,urbano latino"/>
    <s v="Rimas Entertainment LLC."/>
    <n v="0.36"/>
    <n v="0.46400000000000002"/>
    <n v="10"/>
    <n v="-29.597999999999999"/>
    <n v="0"/>
    <n v="7.0199999999999999E-2"/>
    <n v="0.749"/>
    <n v="0.85899999999999999"/>
    <n v="8.2500000000000004E-2"/>
    <n v="0.184"/>
    <n v="63.661999999999999"/>
    <n v="4"/>
    <x v="1"/>
    <x v="1"/>
  </r>
  <r>
    <s v="spotify:track:6Qyc6fS4DsZjB2mRW9DsQs"/>
    <x v="45"/>
    <s v="Dizzy up the Girl"/>
    <x v="39"/>
    <n v="1998"/>
    <n v="289533"/>
    <n v="93"/>
    <b v="0"/>
    <s v="2025-12-03T12:16:11Z"/>
    <m/>
    <s v="Warner Records"/>
    <n v="0.315"/>
    <n v="0.71499999999999997"/>
    <n v="11"/>
    <n v="-8.0719999999999992"/>
    <n v="0"/>
    <n v="3.6200000000000003E-2"/>
    <n v="1.25E-3"/>
    <n v="7.9699999999999999E-6"/>
    <n v="9.4200000000000006E-2"/>
    <n v="0.497"/>
    <n v="155.92500000000001"/>
    <n v="3"/>
    <x v="0"/>
    <x v="1"/>
  </r>
  <r>
    <s v="spotify:track:7CyPwkp0oE8Ro9Dd5CUDjW"/>
    <x v="46"/>
    <s v="The Idol Episode 4 (Music from the HBO Original Series)"/>
    <x v="40"/>
    <d v="2023-06-23T00:00:00"/>
    <n v="244684"/>
    <n v="91"/>
    <b v="0"/>
    <s v="2024-12-04T12:15:00Z"/>
    <s v="k-pop"/>
    <s v="XO / Republic Records"/>
    <n v="0.26400000000000001"/>
    <n v="0.64"/>
    <n v="8"/>
    <n v="-6.2210000000000001"/>
    <n v="1"/>
    <n v="4.4200000000000003E-2"/>
    <n v="3.9300000000000002E-2"/>
    <n v="2.3099999999999999E-6"/>
    <n v="0.151"/>
    <n v="0.19"/>
    <n v="84.828000000000003"/>
    <n v="4"/>
    <x v="1"/>
    <x v="1"/>
  </r>
  <r>
    <s v="spotify:track:2lTm559tuIvatlT1u0JYG2"/>
    <x v="47"/>
    <s v="DeBÍ TiRAR MáS FOToS"/>
    <x v="25"/>
    <d v="2025-01-05T00:00:00"/>
    <n v="367725"/>
    <n v="98"/>
    <b v="1"/>
    <s v="2025-12-03T12:16:11Z"/>
    <s v="reggaeton,trap latino,latin,urbano latino"/>
    <s v="Rimas Entertainment LLC."/>
    <n v="0.16800000000000001"/>
    <n v="3.32E-3"/>
    <n v="10"/>
    <n v="-46.113"/>
    <n v="1"/>
    <n v="6.1499999999999999E-2"/>
    <n v="0.192"/>
    <n v="0.79"/>
    <n v="0.112"/>
    <n v="0.219"/>
    <n v="119.387"/>
    <n v="3"/>
    <x v="1"/>
    <x v="1"/>
  </r>
  <r>
    <s v="spotify:track:59D4DOkspUbWyMmbAPQkxZ"/>
    <x v="48"/>
    <s v="DeBÍ TiRAR MáS FOToS"/>
    <x v="25"/>
    <d v="2025-01-05T00:00:00"/>
    <n v="156364"/>
    <n v="93"/>
    <b v="1"/>
    <s v="2025-12-03T12:16:11Z"/>
    <s v="reggaeton,trap latino,latin,urbano latino"/>
    <s v="Rimas Entertainment LLC."/>
    <n v="0.14799999999999999"/>
    <n v="0.60399999999999998"/>
    <n v="7"/>
    <n v="-35.031999999999996"/>
    <n v="1"/>
    <n v="5.8799999999999998E-2"/>
    <n v="0.92100000000000004"/>
    <n v="0.45300000000000001"/>
    <n v="0.40500000000000003"/>
    <n v="1.0000000000000001E-5"/>
    <n v="106.295"/>
    <n v="3"/>
    <x v="1"/>
    <x v="1"/>
  </r>
  <r>
    <s v="spotify:track:5TFD2bmFKGhoCRbX61nXY5"/>
    <x v="49"/>
    <s v="DeBÍ TiRAR MáS FOToS"/>
    <x v="25"/>
    <d v="2025-01-05T00:00:00"/>
    <n v="183685"/>
    <n v="97"/>
    <b v="0"/>
    <s v="2025-12-03T12:16:11Z"/>
    <s v="reggaeton,trap latino,latin,urbano latino"/>
    <s v="Rimas Entertainment LLC."/>
    <n v="0.14199999999999999"/>
    <n v="0.19500000000000001"/>
    <n v="6"/>
    <n v="-20.024000000000001"/>
    <n v="1"/>
    <n v="0.13900000000000001"/>
    <n v="0.26500000000000001"/>
    <n v="0.995"/>
    <n v="0.20399999999999999"/>
    <n v="0.12"/>
    <n v="137.922"/>
    <n v="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73D2E-33F4-4CBF-BD19-531A287A2F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W16:AX27" firstHeaderRow="1" firstDataRow="1" firstDataCol="1"/>
  <pivotFields count="25">
    <pivotField showAll="0"/>
    <pivotField showAll="0"/>
    <pivotField showAll="0"/>
    <pivotField axis="axisRow" showAll="0" measureFilter="1">
      <items count="42">
        <item x="38"/>
        <item x="3"/>
        <item x="35"/>
        <item x="23"/>
        <item x="25"/>
        <item x="26"/>
        <item x="34"/>
        <item x="13"/>
        <item x="18"/>
        <item x="37"/>
        <item x="33"/>
        <item x="30"/>
        <item x="22"/>
        <item x="8"/>
        <item x="21"/>
        <item x="15"/>
        <item x="0"/>
        <item x="1"/>
        <item x="5"/>
        <item x="16"/>
        <item x="20"/>
        <item x="31"/>
        <item x="9"/>
        <item x="36"/>
        <item x="32"/>
        <item x="6"/>
        <item x="10"/>
        <item x="11"/>
        <item x="19"/>
        <item x="24"/>
        <item x="4"/>
        <item x="28"/>
        <item x="39"/>
        <item x="17"/>
        <item x="27"/>
        <item x="7"/>
        <item x="40"/>
        <item x="12"/>
        <item x="29"/>
        <item x="2"/>
        <item x="1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s>
  <rowFields count="1">
    <field x="3"/>
  </rowFields>
  <rowItems count="11">
    <i>
      <x v="4"/>
    </i>
    <i>
      <x v="5"/>
    </i>
    <i>
      <x v="8"/>
    </i>
    <i>
      <x v="11"/>
    </i>
    <i>
      <x v="19"/>
    </i>
    <i>
      <x v="20"/>
    </i>
    <i>
      <x v="28"/>
    </i>
    <i>
      <x v="29"/>
    </i>
    <i>
      <x v="30"/>
    </i>
    <i>
      <x v="34"/>
    </i>
    <i t="grand">
      <x/>
    </i>
  </rowItems>
  <colItems count="1">
    <i/>
  </colItems>
  <dataFields count="1">
    <dataField name="Sum of Energy" fld="12" baseField="0" baseItem="0"/>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F5ADC-39D3-4D65-BECC-79CBFC3F37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W3:AX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defaultSubtotal="0">
      <items count="2">
        <item x="1"/>
        <item x="0"/>
      </items>
    </pivotField>
    <pivotField showAll="0">
      <items count="3">
        <item x="0"/>
        <item x="1"/>
        <item t="default"/>
      </items>
    </pivotField>
  </pivotFields>
  <rowFields count="1">
    <field x="23"/>
  </rowFields>
  <rowItems count="3">
    <i>
      <x/>
    </i>
    <i>
      <x v="1"/>
    </i>
    <i t="grand">
      <x/>
    </i>
  </rowItems>
  <colItems count="1">
    <i/>
  </colItems>
  <dataFields count="1">
    <dataField name="Count of Tempo Vibe" fld="23"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3" count="1" selected="0">
            <x v="0"/>
          </reference>
        </references>
      </pivotArea>
    </chartFormat>
    <chartFormat chart="5"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06363-3AD7-4238-8441-53F7A6A930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A3:BA4" firstHeaderRow="1" firstDataRow="1" firstDataCol="0"/>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s>
  <rowItems count="1">
    <i/>
  </rowItems>
  <colItems count="1">
    <i/>
  </colItems>
  <dataFields count="1">
    <dataField name="Count of Track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6D10E3-BA67-4881-8CCE-0F8E3CBBF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3:AR54" firstHeaderRow="0" firstDataRow="1" firstDataCol="1"/>
  <pivotFields count="25">
    <pivotField showAll="0"/>
    <pivotField axis="axisRow" showAll="0">
      <items count="51">
        <item x="21"/>
        <item x="20"/>
        <item x="11"/>
        <item x="41"/>
        <item x="47"/>
        <item x="37"/>
        <item x="13"/>
        <item x="14"/>
        <item x="3"/>
        <item x="35"/>
        <item x="34"/>
        <item x="15"/>
        <item x="27"/>
        <item x="44"/>
        <item x="19"/>
        <item x="7"/>
        <item x="24"/>
        <item x="18"/>
        <item x="39"/>
        <item x="45"/>
        <item x="2"/>
        <item x="8"/>
        <item x="31"/>
        <item x="10"/>
        <item x="16"/>
        <item x="9"/>
        <item x="17"/>
        <item x="1"/>
        <item x="49"/>
        <item x="46"/>
        <item x="43"/>
        <item x="30"/>
        <item x="6"/>
        <item x="36"/>
        <item x="32"/>
        <item x="0"/>
        <item x="4"/>
        <item x="29"/>
        <item x="22"/>
        <item x="33"/>
        <item x="40"/>
        <item x="12"/>
        <item x="5"/>
        <item x="26"/>
        <item x="28"/>
        <item x="48"/>
        <item x="25"/>
        <item x="23"/>
        <item x="38"/>
        <item x="4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Average of Energy" fld="12" subtotal="average" baseField="1" baseItem="0"/>
    <dataField name="Average of Danceability" fld="11" subtotal="average" baseField="1" baseItem="0"/>
  </dataFields>
  <formats count="6">
    <format dxfId="712">
      <pivotArea collapsedLevelsAreSubtotals="1" fieldPosition="0">
        <references count="2">
          <reference field="4294967294" count="1" selected="0">
            <x v="0"/>
          </reference>
          <reference field="1" count="1">
            <x v="0"/>
          </reference>
        </references>
      </pivotArea>
    </format>
    <format dxfId="713">
      <pivotArea collapsedLevelsAreSubtotals="1" fieldPosition="0">
        <references count="2">
          <reference field="4294967294" count="1" selected="0">
            <x v="1"/>
          </reference>
          <reference field="1" count="1">
            <x v="0"/>
          </reference>
        </references>
      </pivotArea>
    </format>
    <format dxfId="714">
      <pivotArea collapsedLevelsAreSubtotals="1" fieldPosition="0">
        <references count="2">
          <reference field="4294967294" count="1" selected="0">
            <x v="0"/>
          </reference>
          <reference field="1"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15">
      <pivotArea field="1" grandRow="1" outline="0" collapsedLevelsAreSubtotals="1" axis="axisRow" fieldPosition="0">
        <references count="1">
          <reference field="4294967294" count="1" selected="0">
            <x v="0"/>
          </reference>
        </references>
      </pivotArea>
    </format>
    <format dxfId="716">
      <pivotArea collapsedLevelsAreSubtotals="1" fieldPosition="0">
        <references count="2">
          <reference field="4294967294" count="1" selected="0">
            <x v="1"/>
          </reference>
          <reference field="1"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17">
      <pivotArea field="1"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41114-5EBB-42BF-A1D8-ABE0EE8873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7:BA8"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of Energy" fld="12" subtotal="average" baseField="0" baseItem="0" numFmtId="164"/>
  </dataFields>
  <formats count="1">
    <format dxfId="7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C9E38-22F2-45F3-BD2C-F5611624B14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D66" firstHeaderRow="0" firstDataRow="1" firstDataCol="2"/>
  <pivotFields count="25">
    <pivotField compact="0" outline="0" showAll="0"/>
    <pivotField axis="axisRow" compact="0" outline="0" showAll="0" defaultSubtotal="0">
      <items count="50">
        <item x="21"/>
        <item x="20"/>
        <item x="11"/>
        <item x="41"/>
        <item x="47"/>
        <item x="37"/>
        <item x="13"/>
        <item x="14"/>
        <item x="3"/>
        <item x="35"/>
        <item x="34"/>
        <item x="15"/>
        <item x="27"/>
        <item x="44"/>
        <item x="19"/>
        <item x="7"/>
        <item x="24"/>
        <item x="18"/>
        <item x="39"/>
        <item x="45"/>
        <item x="2"/>
        <item x="8"/>
        <item x="31"/>
        <item x="10"/>
        <item x="16"/>
        <item x="9"/>
        <item x="17"/>
        <item x="1"/>
        <item x="49"/>
        <item x="46"/>
        <item x="43"/>
        <item x="30"/>
        <item x="6"/>
        <item x="36"/>
        <item x="32"/>
        <item x="0"/>
        <item x="4"/>
        <item x="29"/>
        <item x="22"/>
        <item x="33"/>
        <item x="40"/>
        <item x="12"/>
        <item x="5"/>
        <item x="26"/>
        <item x="28"/>
        <item x="48"/>
        <item x="25"/>
        <item x="23"/>
        <item x="38"/>
        <item x="42"/>
      </items>
    </pivotField>
    <pivotField compact="0" outline="0" showAll="0"/>
    <pivotField axis="axisRow" compact="0" outline="0" showAll="0" defaultSubtotal="0">
      <items count="41">
        <item x="38"/>
        <item x="3"/>
        <item x="35"/>
        <item x="23"/>
        <item x="25"/>
        <item x="26"/>
        <item x="34"/>
        <item x="13"/>
        <item x="18"/>
        <item x="37"/>
        <item x="33"/>
        <item x="30"/>
        <item x="22"/>
        <item x="8"/>
        <item x="21"/>
        <item x="15"/>
        <item x="0"/>
        <item x="1"/>
        <item x="5"/>
        <item x="16"/>
        <item x="20"/>
        <item x="31"/>
        <item x="9"/>
        <item x="36"/>
        <item x="32"/>
        <item x="6"/>
        <item x="10"/>
        <item x="11"/>
        <item x="19"/>
        <item x="24"/>
        <item x="4"/>
        <item x="28"/>
        <item x="39"/>
        <item x="17"/>
        <item x="27"/>
        <item x="7"/>
        <item x="40"/>
        <item x="12"/>
        <item x="29"/>
        <item x="2"/>
        <item x="14"/>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1"/>
        <item x="0"/>
        <item t="default"/>
      </items>
    </pivotField>
    <pivotField compact="0" outline="0" showAll="0">
      <items count="3">
        <item x="0"/>
        <item x="1"/>
        <item t="default"/>
      </items>
    </pivotField>
  </pivotFields>
  <rowFields count="2">
    <field x="1"/>
    <field x="3"/>
  </rowFields>
  <rowItems count="51">
    <i>
      <x/>
      <x v="20"/>
    </i>
    <i>
      <x v="1"/>
      <x v="19"/>
    </i>
    <i>
      <x v="2"/>
      <x v="27"/>
    </i>
    <i>
      <x v="3"/>
      <x v="29"/>
    </i>
    <i>
      <x v="4"/>
      <x v="4"/>
    </i>
    <i>
      <x v="5"/>
      <x v="6"/>
    </i>
    <i>
      <x v="6"/>
      <x v="7"/>
    </i>
    <i>
      <x v="7"/>
      <x v="40"/>
    </i>
    <i>
      <x v="8"/>
      <x v="1"/>
    </i>
    <i>
      <x v="9"/>
      <x v="24"/>
    </i>
    <i>
      <x v="10"/>
      <x v="21"/>
    </i>
    <i>
      <x v="11"/>
      <x v="15"/>
    </i>
    <i>
      <x v="12"/>
      <x v="4"/>
    </i>
    <i>
      <x v="13"/>
      <x v="4"/>
    </i>
    <i>
      <x v="14"/>
      <x v="28"/>
    </i>
    <i>
      <x v="15"/>
      <x v="35"/>
    </i>
    <i>
      <x v="16"/>
      <x v="12"/>
    </i>
    <i>
      <x v="17"/>
      <x v="8"/>
    </i>
    <i>
      <x v="18"/>
      <x v="2"/>
    </i>
    <i>
      <x v="19"/>
      <x v="32"/>
    </i>
    <i>
      <x v="20"/>
      <x v="39"/>
    </i>
    <i>
      <x v="21"/>
      <x v="13"/>
    </i>
    <i>
      <x v="22"/>
      <x v="31"/>
    </i>
    <i>
      <x v="23"/>
      <x v="26"/>
    </i>
    <i>
      <x v="24"/>
      <x v="19"/>
    </i>
    <i>
      <x v="25"/>
      <x v="22"/>
    </i>
    <i>
      <x v="26"/>
      <x v="33"/>
    </i>
    <i>
      <x v="27"/>
      <x v="17"/>
    </i>
    <i>
      <x v="28"/>
      <x v="4"/>
    </i>
    <i>
      <x v="29"/>
      <x v="36"/>
    </i>
    <i>
      <x v="30"/>
      <x/>
    </i>
    <i>
      <x v="31"/>
      <x v="8"/>
    </i>
    <i>
      <x v="32"/>
      <x v="25"/>
    </i>
    <i>
      <x v="33"/>
      <x v="10"/>
    </i>
    <i>
      <x v="34"/>
      <x v="38"/>
    </i>
    <i>
      <x v="35"/>
      <x v="16"/>
    </i>
    <i>
      <x v="36"/>
      <x v="30"/>
    </i>
    <i>
      <x v="37"/>
      <x v="34"/>
    </i>
    <i>
      <x v="38"/>
      <x v="28"/>
    </i>
    <i>
      <x v="39"/>
      <x v="11"/>
    </i>
    <i>
      <x v="40"/>
      <x v="23"/>
    </i>
    <i>
      <x v="41"/>
      <x v="37"/>
    </i>
    <i>
      <x v="42"/>
      <x v="18"/>
    </i>
    <i>
      <x v="43"/>
      <x v="29"/>
    </i>
    <i>
      <x v="44"/>
      <x v="5"/>
    </i>
    <i>
      <x v="45"/>
      <x v="4"/>
    </i>
    <i>
      <x v="46"/>
      <x v="3"/>
    </i>
    <i>
      <x v="47"/>
      <x v="14"/>
    </i>
    <i>
      <x v="48"/>
      <x v="7"/>
    </i>
    <i>
      <x v="49"/>
      <x v="9"/>
    </i>
    <i t="grand">
      <x/>
    </i>
  </rowItems>
  <colFields count="1">
    <field x="-2"/>
  </colFields>
  <colItems count="2">
    <i>
      <x/>
    </i>
    <i i="1">
      <x v="1"/>
    </i>
  </colItems>
  <dataFields count="2">
    <dataField name="Average of Danceability" fld="11" subtotal="average" baseField="3" baseItem="20"/>
    <dataField name="Average of Tempo" fld="21" subtotal="average" baseField="3" baseItem="20"/>
  </dataFields>
  <formats count="114">
    <format dxfId="719">
      <pivotArea type="all" dataOnly="0" outline="0" fieldPosition="0"/>
    </format>
    <format dxfId="720">
      <pivotArea outline="0" collapsedLevelsAreSubtotals="1" fieldPosition="0"/>
    </format>
    <format dxfId="721">
      <pivotArea field="1" type="button" dataOnly="0" labelOnly="1" outline="0" axis="axisRow" fieldPosition="0"/>
    </format>
    <format dxfId="722">
      <pivotArea field="3" type="button" dataOnly="0" labelOnly="1" outline="0" axis="axisRow" fieldPosition="1"/>
    </format>
    <format dxfId="723">
      <pivotArea dataOnly="0" labelOnly="1" outline="0" fieldPosition="0">
        <references count="1">
          <reference field="1" count="0"/>
        </references>
      </pivotArea>
    </format>
    <format dxfId="724">
      <pivotArea dataOnly="0" labelOnly="1" grandRow="1" outline="0" fieldPosition="0"/>
    </format>
    <format dxfId="725">
      <pivotArea dataOnly="0" labelOnly="1" outline="0" fieldPosition="0">
        <references count="2">
          <reference field="1" count="1" selected="0">
            <x v="0"/>
          </reference>
          <reference field="3" count="1">
            <x v="20"/>
          </reference>
        </references>
      </pivotArea>
    </format>
    <format dxfId="726">
      <pivotArea dataOnly="0" labelOnly="1" outline="0" fieldPosition="0">
        <references count="2">
          <reference field="1" count="1" selected="0">
            <x v="1"/>
          </reference>
          <reference field="3" count="1">
            <x v="19"/>
          </reference>
        </references>
      </pivotArea>
    </format>
    <format dxfId="727">
      <pivotArea dataOnly="0" labelOnly="1" outline="0" fieldPosition="0">
        <references count="2">
          <reference field="1" count="1" selected="0">
            <x v="2"/>
          </reference>
          <reference field="3" count="1">
            <x v="27"/>
          </reference>
        </references>
      </pivotArea>
    </format>
    <format dxfId="728">
      <pivotArea dataOnly="0" labelOnly="1" outline="0" fieldPosition="0">
        <references count="2">
          <reference field="1" count="1" selected="0">
            <x v="3"/>
          </reference>
          <reference field="3" count="1">
            <x v="29"/>
          </reference>
        </references>
      </pivotArea>
    </format>
    <format dxfId="729">
      <pivotArea dataOnly="0" labelOnly="1" outline="0" fieldPosition="0">
        <references count="2">
          <reference field="1" count="1" selected="0">
            <x v="4"/>
          </reference>
          <reference field="3" count="1">
            <x v="4"/>
          </reference>
        </references>
      </pivotArea>
    </format>
    <format dxfId="730">
      <pivotArea dataOnly="0" labelOnly="1" outline="0" fieldPosition="0">
        <references count="2">
          <reference field="1" count="1" selected="0">
            <x v="5"/>
          </reference>
          <reference field="3" count="1">
            <x v="6"/>
          </reference>
        </references>
      </pivotArea>
    </format>
    <format dxfId="731">
      <pivotArea dataOnly="0" labelOnly="1" outline="0" fieldPosition="0">
        <references count="2">
          <reference field="1" count="1" selected="0">
            <x v="6"/>
          </reference>
          <reference field="3" count="1">
            <x v="7"/>
          </reference>
        </references>
      </pivotArea>
    </format>
    <format dxfId="732">
      <pivotArea dataOnly="0" labelOnly="1" outline="0" fieldPosition="0">
        <references count="2">
          <reference field="1" count="1" selected="0">
            <x v="7"/>
          </reference>
          <reference field="3" count="1">
            <x v="40"/>
          </reference>
        </references>
      </pivotArea>
    </format>
    <format dxfId="733">
      <pivotArea dataOnly="0" labelOnly="1" outline="0" fieldPosition="0">
        <references count="2">
          <reference field="1" count="1" selected="0">
            <x v="8"/>
          </reference>
          <reference field="3" count="1">
            <x v="1"/>
          </reference>
        </references>
      </pivotArea>
    </format>
    <format dxfId="734">
      <pivotArea dataOnly="0" labelOnly="1" outline="0" fieldPosition="0">
        <references count="2">
          <reference field="1" count="1" selected="0">
            <x v="9"/>
          </reference>
          <reference field="3" count="1">
            <x v="24"/>
          </reference>
        </references>
      </pivotArea>
    </format>
    <format dxfId="735">
      <pivotArea dataOnly="0" labelOnly="1" outline="0" fieldPosition="0">
        <references count="2">
          <reference field="1" count="1" selected="0">
            <x v="10"/>
          </reference>
          <reference field="3" count="1">
            <x v="21"/>
          </reference>
        </references>
      </pivotArea>
    </format>
    <format dxfId="736">
      <pivotArea dataOnly="0" labelOnly="1" outline="0" fieldPosition="0">
        <references count="2">
          <reference field="1" count="1" selected="0">
            <x v="11"/>
          </reference>
          <reference field="3" count="1">
            <x v="15"/>
          </reference>
        </references>
      </pivotArea>
    </format>
    <format dxfId="737">
      <pivotArea dataOnly="0" labelOnly="1" outline="0" fieldPosition="0">
        <references count="2">
          <reference field="1" count="1" selected="0">
            <x v="12"/>
          </reference>
          <reference field="3" count="1">
            <x v="4"/>
          </reference>
        </references>
      </pivotArea>
    </format>
    <format dxfId="738">
      <pivotArea dataOnly="0" labelOnly="1" outline="0" fieldPosition="0">
        <references count="2">
          <reference field="1" count="1" selected="0">
            <x v="13"/>
          </reference>
          <reference field="3" count="1">
            <x v="4"/>
          </reference>
        </references>
      </pivotArea>
    </format>
    <format dxfId="739">
      <pivotArea dataOnly="0" labelOnly="1" outline="0" fieldPosition="0">
        <references count="2">
          <reference field="1" count="1" selected="0">
            <x v="14"/>
          </reference>
          <reference field="3" count="1">
            <x v="28"/>
          </reference>
        </references>
      </pivotArea>
    </format>
    <format dxfId="740">
      <pivotArea dataOnly="0" labelOnly="1" outline="0" fieldPosition="0">
        <references count="2">
          <reference field="1" count="1" selected="0">
            <x v="15"/>
          </reference>
          <reference field="3" count="1">
            <x v="35"/>
          </reference>
        </references>
      </pivotArea>
    </format>
    <format dxfId="741">
      <pivotArea dataOnly="0" labelOnly="1" outline="0" fieldPosition="0">
        <references count="2">
          <reference field="1" count="1" selected="0">
            <x v="16"/>
          </reference>
          <reference field="3" count="1">
            <x v="12"/>
          </reference>
        </references>
      </pivotArea>
    </format>
    <format dxfId="742">
      <pivotArea dataOnly="0" labelOnly="1" outline="0" fieldPosition="0">
        <references count="2">
          <reference field="1" count="1" selected="0">
            <x v="17"/>
          </reference>
          <reference field="3" count="1">
            <x v="8"/>
          </reference>
        </references>
      </pivotArea>
    </format>
    <format dxfId="743">
      <pivotArea dataOnly="0" labelOnly="1" outline="0" fieldPosition="0">
        <references count="2">
          <reference field="1" count="1" selected="0">
            <x v="18"/>
          </reference>
          <reference field="3" count="1">
            <x v="2"/>
          </reference>
        </references>
      </pivotArea>
    </format>
    <format dxfId="744">
      <pivotArea dataOnly="0" labelOnly="1" outline="0" fieldPosition="0">
        <references count="2">
          <reference field="1" count="1" selected="0">
            <x v="19"/>
          </reference>
          <reference field="3" count="1">
            <x v="32"/>
          </reference>
        </references>
      </pivotArea>
    </format>
    <format dxfId="745">
      <pivotArea dataOnly="0" labelOnly="1" outline="0" fieldPosition="0">
        <references count="2">
          <reference field="1" count="1" selected="0">
            <x v="20"/>
          </reference>
          <reference field="3" count="1">
            <x v="39"/>
          </reference>
        </references>
      </pivotArea>
    </format>
    <format dxfId="746">
      <pivotArea dataOnly="0" labelOnly="1" outline="0" fieldPosition="0">
        <references count="2">
          <reference field="1" count="1" selected="0">
            <x v="21"/>
          </reference>
          <reference field="3" count="1">
            <x v="13"/>
          </reference>
        </references>
      </pivotArea>
    </format>
    <format dxfId="747">
      <pivotArea dataOnly="0" labelOnly="1" outline="0" fieldPosition="0">
        <references count="2">
          <reference field="1" count="1" selected="0">
            <x v="22"/>
          </reference>
          <reference field="3" count="1">
            <x v="31"/>
          </reference>
        </references>
      </pivotArea>
    </format>
    <format dxfId="748">
      <pivotArea dataOnly="0" labelOnly="1" outline="0" fieldPosition="0">
        <references count="2">
          <reference field="1" count="1" selected="0">
            <x v="23"/>
          </reference>
          <reference field="3" count="1">
            <x v="26"/>
          </reference>
        </references>
      </pivotArea>
    </format>
    <format dxfId="749">
      <pivotArea dataOnly="0" labelOnly="1" outline="0" fieldPosition="0">
        <references count="2">
          <reference field="1" count="1" selected="0">
            <x v="24"/>
          </reference>
          <reference field="3" count="1">
            <x v="19"/>
          </reference>
        </references>
      </pivotArea>
    </format>
    <format dxfId="750">
      <pivotArea dataOnly="0" labelOnly="1" outline="0" fieldPosition="0">
        <references count="2">
          <reference field="1" count="1" selected="0">
            <x v="25"/>
          </reference>
          <reference field="3" count="1">
            <x v="22"/>
          </reference>
        </references>
      </pivotArea>
    </format>
    <format dxfId="751">
      <pivotArea dataOnly="0" labelOnly="1" outline="0" fieldPosition="0">
        <references count="2">
          <reference field="1" count="1" selected="0">
            <x v="26"/>
          </reference>
          <reference field="3" count="1">
            <x v="33"/>
          </reference>
        </references>
      </pivotArea>
    </format>
    <format dxfId="752">
      <pivotArea dataOnly="0" labelOnly="1" outline="0" fieldPosition="0">
        <references count="2">
          <reference field="1" count="1" selected="0">
            <x v="27"/>
          </reference>
          <reference field="3" count="1">
            <x v="17"/>
          </reference>
        </references>
      </pivotArea>
    </format>
    <format dxfId="753">
      <pivotArea dataOnly="0" labelOnly="1" outline="0" fieldPosition="0">
        <references count="2">
          <reference field="1" count="1" selected="0">
            <x v="28"/>
          </reference>
          <reference field="3" count="1">
            <x v="4"/>
          </reference>
        </references>
      </pivotArea>
    </format>
    <format dxfId="754">
      <pivotArea dataOnly="0" labelOnly="1" outline="0" fieldPosition="0">
        <references count="2">
          <reference field="1" count="1" selected="0">
            <x v="29"/>
          </reference>
          <reference field="3" count="1">
            <x v="36"/>
          </reference>
        </references>
      </pivotArea>
    </format>
    <format dxfId="755">
      <pivotArea dataOnly="0" labelOnly="1" outline="0" fieldPosition="0">
        <references count="2">
          <reference field="1" count="1" selected="0">
            <x v="30"/>
          </reference>
          <reference field="3" count="1">
            <x v="0"/>
          </reference>
        </references>
      </pivotArea>
    </format>
    <format dxfId="756">
      <pivotArea dataOnly="0" labelOnly="1" outline="0" fieldPosition="0">
        <references count="2">
          <reference field="1" count="1" selected="0">
            <x v="31"/>
          </reference>
          <reference field="3" count="1">
            <x v="8"/>
          </reference>
        </references>
      </pivotArea>
    </format>
    <format dxfId="757">
      <pivotArea dataOnly="0" labelOnly="1" outline="0" fieldPosition="0">
        <references count="2">
          <reference field="1" count="1" selected="0">
            <x v="32"/>
          </reference>
          <reference field="3" count="1">
            <x v="25"/>
          </reference>
        </references>
      </pivotArea>
    </format>
    <format dxfId="758">
      <pivotArea dataOnly="0" labelOnly="1" outline="0" fieldPosition="0">
        <references count="2">
          <reference field="1" count="1" selected="0">
            <x v="33"/>
          </reference>
          <reference field="3" count="1">
            <x v="10"/>
          </reference>
        </references>
      </pivotArea>
    </format>
    <format dxfId="759">
      <pivotArea dataOnly="0" labelOnly="1" outline="0" fieldPosition="0">
        <references count="2">
          <reference field="1" count="1" selected="0">
            <x v="34"/>
          </reference>
          <reference field="3" count="1">
            <x v="38"/>
          </reference>
        </references>
      </pivotArea>
    </format>
    <format dxfId="760">
      <pivotArea dataOnly="0" labelOnly="1" outline="0" fieldPosition="0">
        <references count="2">
          <reference field="1" count="1" selected="0">
            <x v="35"/>
          </reference>
          <reference field="3" count="1">
            <x v="16"/>
          </reference>
        </references>
      </pivotArea>
    </format>
    <format dxfId="761">
      <pivotArea dataOnly="0" labelOnly="1" outline="0" fieldPosition="0">
        <references count="2">
          <reference field="1" count="1" selected="0">
            <x v="36"/>
          </reference>
          <reference field="3" count="1">
            <x v="30"/>
          </reference>
        </references>
      </pivotArea>
    </format>
    <format dxfId="762">
      <pivotArea dataOnly="0" labelOnly="1" outline="0" fieldPosition="0">
        <references count="2">
          <reference field="1" count="1" selected="0">
            <x v="37"/>
          </reference>
          <reference field="3" count="1">
            <x v="34"/>
          </reference>
        </references>
      </pivotArea>
    </format>
    <format dxfId="763">
      <pivotArea dataOnly="0" labelOnly="1" outline="0" fieldPosition="0">
        <references count="2">
          <reference field="1" count="1" selected="0">
            <x v="38"/>
          </reference>
          <reference field="3" count="1">
            <x v="28"/>
          </reference>
        </references>
      </pivotArea>
    </format>
    <format dxfId="764">
      <pivotArea dataOnly="0" labelOnly="1" outline="0" fieldPosition="0">
        <references count="2">
          <reference field="1" count="1" selected="0">
            <x v="39"/>
          </reference>
          <reference field="3" count="1">
            <x v="11"/>
          </reference>
        </references>
      </pivotArea>
    </format>
    <format dxfId="765">
      <pivotArea dataOnly="0" labelOnly="1" outline="0" fieldPosition="0">
        <references count="2">
          <reference field="1" count="1" selected="0">
            <x v="40"/>
          </reference>
          <reference field="3" count="1">
            <x v="23"/>
          </reference>
        </references>
      </pivotArea>
    </format>
    <format dxfId="766">
      <pivotArea dataOnly="0" labelOnly="1" outline="0" fieldPosition="0">
        <references count="2">
          <reference field="1" count="1" selected="0">
            <x v="41"/>
          </reference>
          <reference field="3" count="1">
            <x v="37"/>
          </reference>
        </references>
      </pivotArea>
    </format>
    <format dxfId="767">
      <pivotArea dataOnly="0" labelOnly="1" outline="0" fieldPosition="0">
        <references count="2">
          <reference field="1" count="1" selected="0">
            <x v="42"/>
          </reference>
          <reference field="3" count="1">
            <x v="18"/>
          </reference>
        </references>
      </pivotArea>
    </format>
    <format dxfId="768">
      <pivotArea dataOnly="0" labelOnly="1" outline="0" fieldPosition="0">
        <references count="2">
          <reference field="1" count="1" selected="0">
            <x v="43"/>
          </reference>
          <reference field="3" count="1">
            <x v="29"/>
          </reference>
        </references>
      </pivotArea>
    </format>
    <format dxfId="769">
      <pivotArea dataOnly="0" labelOnly="1" outline="0" fieldPosition="0">
        <references count="2">
          <reference field="1" count="1" selected="0">
            <x v="44"/>
          </reference>
          <reference field="3" count="1">
            <x v="5"/>
          </reference>
        </references>
      </pivotArea>
    </format>
    <format dxfId="770">
      <pivotArea dataOnly="0" labelOnly="1" outline="0" fieldPosition="0">
        <references count="2">
          <reference field="1" count="1" selected="0">
            <x v="45"/>
          </reference>
          <reference field="3" count="1">
            <x v="4"/>
          </reference>
        </references>
      </pivotArea>
    </format>
    <format dxfId="771">
      <pivotArea dataOnly="0" labelOnly="1" outline="0" fieldPosition="0">
        <references count="2">
          <reference field="1" count="1" selected="0">
            <x v="46"/>
          </reference>
          <reference field="3" count="1">
            <x v="3"/>
          </reference>
        </references>
      </pivotArea>
    </format>
    <format dxfId="772">
      <pivotArea dataOnly="0" labelOnly="1" outline="0" fieldPosition="0">
        <references count="2">
          <reference field="1" count="1" selected="0">
            <x v="47"/>
          </reference>
          <reference field="3" count="1">
            <x v="14"/>
          </reference>
        </references>
      </pivotArea>
    </format>
    <format dxfId="773">
      <pivotArea dataOnly="0" labelOnly="1" outline="0" fieldPosition="0">
        <references count="2">
          <reference field="1" count="1" selected="0">
            <x v="48"/>
          </reference>
          <reference field="3" count="1">
            <x v="7"/>
          </reference>
        </references>
      </pivotArea>
    </format>
    <format dxfId="774">
      <pivotArea dataOnly="0" labelOnly="1" outline="0" fieldPosition="0">
        <references count="2">
          <reference field="1" count="1" selected="0">
            <x v="49"/>
          </reference>
          <reference field="3" count="1">
            <x v="9"/>
          </reference>
        </references>
      </pivotArea>
    </format>
    <format dxfId="775">
      <pivotArea dataOnly="0" labelOnly="1" outline="0" fieldPosition="0">
        <references count="1">
          <reference field="4294967294" count="2">
            <x v="0"/>
            <x v="1"/>
          </reference>
        </references>
      </pivotArea>
    </format>
    <format dxfId="776">
      <pivotArea type="all" dataOnly="0" outline="0" fieldPosition="0"/>
    </format>
    <format dxfId="777">
      <pivotArea outline="0" collapsedLevelsAreSubtotals="1" fieldPosition="0"/>
    </format>
    <format dxfId="778">
      <pivotArea field="1" type="button" dataOnly="0" labelOnly="1" outline="0" axis="axisRow" fieldPosition="0"/>
    </format>
    <format dxfId="779">
      <pivotArea field="3" type="button" dataOnly="0" labelOnly="1" outline="0" axis="axisRow" fieldPosition="1"/>
    </format>
    <format dxfId="780">
      <pivotArea dataOnly="0" labelOnly="1" outline="0" fieldPosition="0">
        <references count="1">
          <reference field="1" count="0"/>
        </references>
      </pivotArea>
    </format>
    <format dxfId="781">
      <pivotArea dataOnly="0" labelOnly="1" grandRow="1" outline="0" fieldPosition="0"/>
    </format>
    <format dxfId="782">
      <pivotArea dataOnly="0" labelOnly="1" outline="0" fieldPosition="0">
        <references count="2">
          <reference field="1" count="1" selected="0">
            <x v="0"/>
          </reference>
          <reference field="3" count="1">
            <x v="20"/>
          </reference>
        </references>
      </pivotArea>
    </format>
    <format dxfId="783">
      <pivotArea dataOnly="0" labelOnly="1" outline="0" fieldPosition="0">
        <references count="2">
          <reference field="1" count="1" selected="0">
            <x v="1"/>
          </reference>
          <reference field="3" count="1">
            <x v="19"/>
          </reference>
        </references>
      </pivotArea>
    </format>
    <format dxfId="784">
      <pivotArea dataOnly="0" labelOnly="1" outline="0" fieldPosition="0">
        <references count="2">
          <reference field="1" count="1" selected="0">
            <x v="2"/>
          </reference>
          <reference field="3" count="1">
            <x v="27"/>
          </reference>
        </references>
      </pivotArea>
    </format>
    <format dxfId="785">
      <pivotArea dataOnly="0" labelOnly="1" outline="0" fieldPosition="0">
        <references count="2">
          <reference field="1" count="1" selected="0">
            <x v="3"/>
          </reference>
          <reference field="3" count="1">
            <x v="29"/>
          </reference>
        </references>
      </pivotArea>
    </format>
    <format dxfId="786">
      <pivotArea dataOnly="0" labelOnly="1" outline="0" fieldPosition="0">
        <references count="2">
          <reference field="1" count="1" selected="0">
            <x v="4"/>
          </reference>
          <reference field="3" count="1">
            <x v="4"/>
          </reference>
        </references>
      </pivotArea>
    </format>
    <format dxfId="787">
      <pivotArea dataOnly="0" labelOnly="1" outline="0" fieldPosition="0">
        <references count="2">
          <reference field="1" count="1" selected="0">
            <x v="5"/>
          </reference>
          <reference field="3" count="1">
            <x v="6"/>
          </reference>
        </references>
      </pivotArea>
    </format>
    <format dxfId="788">
      <pivotArea dataOnly="0" labelOnly="1" outline="0" fieldPosition="0">
        <references count="2">
          <reference field="1" count="1" selected="0">
            <x v="6"/>
          </reference>
          <reference field="3" count="1">
            <x v="7"/>
          </reference>
        </references>
      </pivotArea>
    </format>
    <format dxfId="789">
      <pivotArea dataOnly="0" labelOnly="1" outline="0" fieldPosition="0">
        <references count="2">
          <reference field="1" count="1" selected="0">
            <x v="7"/>
          </reference>
          <reference field="3" count="1">
            <x v="40"/>
          </reference>
        </references>
      </pivotArea>
    </format>
    <format dxfId="790">
      <pivotArea dataOnly="0" labelOnly="1" outline="0" fieldPosition="0">
        <references count="2">
          <reference field="1" count="1" selected="0">
            <x v="8"/>
          </reference>
          <reference field="3" count="1">
            <x v="1"/>
          </reference>
        </references>
      </pivotArea>
    </format>
    <format dxfId="791">
      <pivotArea dataOnly="0" labelOnly="1" outline="0" fieldPosition="0">
        <references count="2">
          <reference field="1" count="1" selected="0">
            <x v="9"/>
          </reference>
          <reference field="3" count="1">
            <x v="24"/>
          </reference>
        </references>
      </pivotArea>
    </format>
    <format dxfId="792">
      <pivotArea dataOnly="0" labelOnly="1" outline="0" fieldPosition="0">
        <references count="2">
          <reference field="1" count="1" selected="0">
            <x v="10"/>
          </reference>
          <reference field="3" count="1">
            <x v="21"/>
          </reference>
        </references>
      </pivotArea>
    </format>
    <format dxfId="793">
      <pivotArea dataOnly="0" labelOnly="1" outline="0" fieldPosition="0">
        <references count="2">
          <reference field="1" count="1" selected="0">
            <x v="11"/>
          </reference>
          <reference field="3" count="1">
            <x v="15"/>
          </reference>
        </references>
      </pivotArea>
    </format>
    <format dxfId="794">
      <pivotArea dataOnly="0" labelOnly="1" outline="0" fieldPosition="0">
        <references count="2">
          <reference field="1" count="1" selected="0">
            <x v="12"/>
          </reference>
          <reference field="3" count="1">
            <x v="4"/>
          </reference>
        </references>
      </pivotArea>
    </format>
    <format dxfId="795">
      <pivotArea dataOnly="0" labelOnly="1" outline="0" fieldPosition="0">
        <references count="2">
          <reference field="1" count="1" selected="0">
            <x v="13"/>
          </reference>
          <reference field="3" count="1">
            <x v="4"/>
          </reference>
        </references>
      </pivotArea>
    </format>
    <format dxfId="796">
      <pivotArea dataOnly="0" labelOnly="1" outline="0" fieldPosition="0">
        <references count="2">
          <reference field="1" count="1" selected="0">
            <x v="14"/>
          </reference>
          <reference field="3" count="1">
            <x v="28"/>
          </reference>
        </references>
      </pivotArea>
    </format>
    <format dxfId="797">
      <pivotArea dataOnly="0" labelOnly="1" outline="0" fieldPosition="0">
        <references count="2">
          <reference field="1" count="1" selected="0">
            <x v="15"/>
          </reference>
          <reference field="3" count="1">
            <x v="35"/>
          </reference>
        </references>
      </pivotArea>
    </format>
    <format dxfId="798">
      <pivotArea dataOnly="0" labelOnly="1" outline="0" fieldPosition="0">
        <references count="2">
          <reference field="1" count="1" selected="0">
            <x v="16"/>
          </reference>
          <reference field="3" count="1">
            <x v="12"/>
          </reference>
        </references>
      </pivotArea>
    </format>
    <format dxfId="799">
      <pivotArea dataOnly="0" labelOnly="1" outline="0" fieldPosition="0">
        <references count="2">
          <reference field="1" count="1" selected="0">
            <x v="17"/>
          </reference>
          <reference field="3" count="1">
            <x v="8"/>
          </reference>
        </references>
      </pivotArea>
    </format>
    <format dxfId="800">
      <pivotArea dataOnly="0" labelOnly="1" outline="0" fieldPosition="0">
        <references count="2">
          <reference field="1" count="1" selected="0">
            <x v="18"/>
          </reference>
          <reference field="3" count="1">
            <x v="2"/>
          </reference>
        </references>
      </pivotArea>
    </format>
    <format dxfId="801">
      <pivotArea dataOnly="0" labelOnly="1" outline="0" fieldPosition="0">
        <references count="2">
          <reference field="1" count="1" selected="0">
            <x v="19"/>
          </reference>
          <reference field="3" count="1">
            <x v="32"/>
          </reference>
        </references>
      </pivotArea>
    </format>
    <format dxfId="802">
      <pivotArea dataOnly="0" labelOnly="1" outline="0" fieldPosition="0">
        <references count="2">
          <reference field="1" count="1" selected="0">
            <x v="20"/>
          </reference>
          <reference field="3" count="1">
            <x v="39"/>
          </reference>
        </references>
      </pivotArea>
    </format>
    <format dxfId="803">
      <pivotArea dataOnly="0" labelOnly="1" outline="0" fieldPosition="0">
        <references count="2">
          <reference field="1" count="1" selected="0">
            <x v="21"/>
          </reference>
          <reference field="3" count="1">
            <x v="13"/>
          </reference>
        </references>
      </pivotArea>
    </format>
    <format dxfId="804">
      <pivotArea dataOnly="0" labelOnly="1" outline="0" fieldPosition="0">
        <references count="2">
          <reference field="1" count="1" selected="0">
            <x v="22"/>
          </reference>
          <reference field="3" count="1">
            <x v="31"/>
          </reference>
        </references>
      </pivotArea>
    </format>
    <format dxfId="805">
      <pivotArea dataOnly="0" labelOnly="1" outline="0" fieldPosition="0">
        <references count="2">
          <reference field="1" count="1" selected="0">
            <x v="23"/>
          </reference>
          <reference field="3" count="1">
            <x v="26"/>
          </reference>
        </references>
      </pivotArea>
    </format>
    <format dxfId="806">
      <pivotArea dataOnly="0" labelOnly="1" outline="0" fieldPosition="0">
        <references count="2">
          <reference field="1" count="1" selected="0">
            <x v="24"/>
          </reference>
          <reference field="3" count="1">
            <x v="19"/>
          </reference>
        </references>
      </pivotArea>
    </format>
    <format dxfId="807">
      <pivotArea dataOnly="0" labelOnly="1" outline="0" fieldPosition="0">
        <references count="2">
          <reference field="1" count="1" selected="0">
            <x v="25"/>
          </reference>
          <reference field="3" count="1">
            <x v="22"/>
          </reference>
        </references>
      </pivotArea>
    </format>
    <format dxfId="808">
      <pivotArea dataOnly="0" labelOnly="1" outline="0" fieldPosition="0">
        <references count="2">
          <reference field="1" count="1" selected="0">
            <x v="26"/>
          </reference>
          <reference field="3" count="1">
            <x v="33"/>
          </reference>
        </references>
      </pivotArea>
    </format>
    <format dxfId="809">
      <pivotArea dataOnly="0" labelOnly="1" outline="0" fieldPosition="0">
        <references count="2">
          <reference field="1" count="1" selected="0">
            <x v="27"/>
          </reference>
          <reference field="3" count="1">
            <x v="17"/>
          </reference>
        </references>
      </pivotArea>
    </format>
    <format dxfId="810">
      <pivotArea dataOnly="0" labelOnly="1" outline="0" fieldPosition="0">
        <references count="2">
          <reference field="1" count="1" selected="0">
            <x v="28"/>
          </reference>
          <reference field="3" count="1">
            <x v="4"/>
          </reference>
        </references>
      </pivotArea>
    </format>
    <format dxfId="811">
      <pivotArea dataOnly="0" labelOnly="1" outline="0" fieldPosition="0">
        <references count="2">
          <reference field="1" count="1" selected="0">
            <x v="29"/>
          </reference>
          <reference field="3" count="1">
            <x v="36"/>
          </reference>
        </references>
      </pivotArea>
    </format>
    <format dxfId="812">
      <pivotArea dataOnly="0" labelOnly="1" outline="0" fieldPosition="0">
        <references count="2">
          <reference field="1" count="1" selected="0">
            <x v="30"/>
          </reference>
          <reference field="3" count="1">
            <x v="0"/>
          </reference>
        </references>
      </pivotArea>
    </format>
    <format dxfId="813">
      <pivotArea dataOnly="0" labelOnly="1" outline="0" fieldPosition="0">
        <references count="2">
          <reference field="1" count="1" selected="0">
            <x v="31"/>
          </reference>
          <reference field="3" count="1">
            <x v="8"/>
          </reference>
        </references>
      </pivotArea>
    </format>
    <format dxfId="814">
      <pivotArea dataOnly="0" labelOnly="1" outline="0" fieldPosition="0">
        <references count="2">
          <reference field="1" count="1" selected="0">
            <x v="32"/>
          </reference>
          <reference field="3" count="1">
            <x v="25"/>
          </reference>
        </references>
      </pivotArea>
    </format>
    <format dxfId="815">
      <pivotArea dataOnly="0" labelOnly="1" outline="0" fieldPosition="0">
        <references count="2">
          <reference field="1" count="1" selected="0">
            <x v="33"/>
          </reference>
          <reference field="3" count="1">
            <x v="10"/>
          </reference>
        </references>
      </pivotArea>
    </format>
    <format dxfId="816">
      <pivotArea dataOnly="0" labelOnly="1" outline="0" fieldPosition="0">
        <references count="2">
          <reference field="1" count="1" selected="0">
            <x v="34"/>
          </reference>
          <reference field="3" count="1">
            <x v="38"/>
          </reference>
        </references>
      </pivotArea>
    </format>
    <format dxfId="817">
      <pivotArea dataOnly="0" labelOnly="1" outline="0" fieldPosition="0">
        <references count="2">
          <reference field="1" count="1" selected="0">
            <x v="35"/>
          </reference>
          <reference field="3" count="1">
            <x v="16"/>
          </reference>
        </references>
      </pivotArea>
    </format>
    <format dxfId="818">
      <pivotArea dataOnly="0" labelOnly="1" outline="0" fieldPosition="0">
        <references count="2">
          <reference field="1" count="1" selected="0">
            <x v="36"/>
          </reference>
          <reference field="3" count="1">
            <x v="30"/>
          </reference>
        </references>
      </pivotArea>
    </format>
    <format dxfId="819">
      <pivotArea dataOnly="0" labelOnly="1" outline="0" fieldPosition="0">
        <references count="2">
          <reference field="1" count="1" selected="0">
            <x v="37"/>
          </reference>
          <reference field="3" count="1">
            <x v="34"/>
          </reference>
        </references>
      </pivotArea>
    </format>
    <format dxfId="820">
      <pivotArea dataOnly="0" labelOnly="1" outline="0" fieldPosition="0">
        <references count="2">
          <reference field="1" count="1" selected="0">
            <x v="38"/>
          </reference>
          <reference field="3" count="1">
            <x v="28"/>
          </reference>
        </references>
      </pivotArea>
    </format>
    <format dxfId="821">
      <pivotArea dataOnly="0" labelOnly="1" outline="0" fieldPosition="0">
        <references count="2">
          <reference field="1" count="1" selected="0">
            <x v="39"/>
          </reference>
          <reference field="3" count="1">
            <x v="11"/>
          </reference>
        </references>
      </pivotArea>
    </format>
    <format dxfId="822">
      <pivotArea dataOnly="0" labelOnly="1" outline="0" fieldPosition="0">
        <references count="2">
          <reference field="1" count="1" selected="0">
            <x v="40"/>
          </reference>
          <reference field="3" count="1">
            <x v="23"/>
          </reference>
        </references>
      </pivotArea>
    </format>
    <format dxfId="823">
      <pivotArea dataOnly="0" labelOnly="1" outline="0" fieldPosition="0">
        <references count="2">
          <reference field="1" count="1" selected="0">
            <x v="41"/>
          </reference>
          <reference field="3" count="1">
            <x v="37"/>
          </reference>
        </references>
      </pivotArea>
    </format>
    <format dxfId="824">
      <pivotArea dataOnly="0" labelOnly="1" outline="0" fieldPosition="0">
        <references count="2">
          <reference field="1" count="1" selected="0">
            <x v="42"/>
          </reference>
          <reference field="3" count="1">
            <x v="18"/>
          </reference>
        </references>
      </pivotArea>
    </format>
    <format dxfId="825">
      <pivotArea dataOnly="0" labelOnly="1" outline="0" fieldPosition="0">
        <references count="2">
          <reference field="1" count="1" selected="0">
            <x v="43"/>
          </reference>
          <reference field="3" count="1">
            <x v="29"/>
          </reference>
        </references>
      </pivotArea>
    </format>
    <format dxfId="826">
      <pivotArea dataOnly="0" labelOnly="1" outline="0" fieldPosition="0">
        <references count="2">
          <reference field="1" count="1" selected="0">
            <x v="44"/>
          </reference>
          <reference field="3" count="1">
            <x v="5"/>
          </reference>
        </references>
      </pivotArea>
    </format>
    <format dxfId="827">
      <pivotArea dataOnly="0" labelOnly="1" outline="0" fieldPosition="0">
        <references count="2">
          <reference field="1" count="1" selected="0">
            <x v="45"/>
          </reference>
          <reference field="3" count="1">
            <x v="4"/>
          </reference>
        </references>
      </pivotArea>
    </format>
    <format dxfId="828">
      <pivotArea dataOnly="0" labelOnly="1" outline="0" fieldPosition="0">
        <references count="2">
          <reference field="1" count="1" selected="0">
            <x v="46"/>
          </reference>
          <reference field="3" count="1">
            <x v="3"/>
          </reference>
        </references>
      </pivotArea>
    </format>
    <format dxfId="829">
      <pivotArea dataOnly="0" labelOnly="1" outline="0" fieldPosition="0">
        <references count="2">
          <reference field="1" count="1" selected="0">
            <x v="47"/>
          </reference>
          <reference field="3" count="1">
            <x v="14"/>
          </reference>
        </references>
      </pivotArea>
    </format>
    <format dxfId="830">
      <pivotArea dataOnly="0" labelOnly="1" outline="0" fieldPosition="0">
        <references count="2">
          <reference field="1" count="1" selected="0">
            <x v="48"/>
          </reference>
          <reference field="3" count="1">
            <x v="7"/>
          </reference>
        </references>
      </pivotArea>
    </format>
    <format dxfId="831">
      <pivotArea dataOnly="0" labelOnly="1" outline="0" fieldPosition="0">
        <references count="2">
          <reference field="1" count="1" selected="0">
            <x v="49"/>
          </reference>
          <reference field="3" count="1">
            <x v="9"/>
          </reference>
        </references>
      </pivotArea>
    </format>
    <format dxfId="832">
      <pivotArea dataOnly="0" labelOnly="1" outline="0" fieldPosition="0">
        <references count="1">
          <reference field="4294967294" count="2">
            <x v="0"/>
            <x v="1"/>
          </reference>
        </references>
      </pivotArea>
    </format>
  </formats>
  <conditionalFormats count="1">
    <conditionalFormat priority="1">
      <pivotAreas count="2">
        <pivotArea type="data" outline="0" collapsedLevelsAreSubtotals="1" fieldPosition="0">
          <references count="3">
            <reference field="4294967294" count="1" selected="0">
              <x v="0"/>
            </reference>
            <reference field="1" count="4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 field="3" count="40" selected="0">
              <x v="0"/>
              <x v="1"/>
              <x v="2"/>
              <x v="3"/>
              <x v="4"/>
              <x v="5"/>
              <x v="6"/>
              <x v="7"/>
              <x v="8"/>
              <x v="10"/>
              <x v="11"/>
              <x v="12"/>
              <x v="13"/>
              <x v="14"/>
              <x v="15"/>
              <x v="16"/>
              <x v="17"/>
              <x v="18"/>
              <x v="19"/>
              <x v="20"/>
              <x v="21"/>
              <x v="22"/>
              <x v="23"/>
              <x v="24"/>
              <x v="25"/>
              <x v="26"/>
              <x v="27"/>
              <x v="28"/>
              <x v="29"/>
              <x v="30"/>
              <x v="31"/>
              <x v="32"/>
              <x v="33"/>
              <x v="34"/>
              <x v="35"/>
              <x v="36"/>
              <x v="37"/>
              <x v="38"/>
              <x v="39"/>
              <x v="40"/>
            </reference>
          </references>
        </pivotArea>
        <pivotArea type="data" outline="0" collapsedLevelsAreSubtotals="1" fieldPosition="0">
          <references count="3">
            <reference field="4294967294" count="1" selected="0">
              <x v="0"/>
            </reference>
            <reference field="1" count="1" selected="0">
              <x v="49"/>
            </reference>
            <reference field="3" count="1" selected="0">
              <x v="9"/>
            </reference>
          </references>
        </pivotArea>
      </pivotAreas>
    </conditionalFormat>
  </conditional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ce_Vibe" xr10:uid="{84A441D2-57E4-4B8C-AA75-FA02F8C8BAF8}" sourceName="Dance Vibe">
  <pivotTables>
    <pivotTable tabId="6" name="PivotTable5"/>
    <pivotTable tabId="1" name="PivotTable6"/>
    <pivotTable tabId="1" name="PivotTable7"/>
    <pivotTable tabId="1" name="PivotTable1"/>
  </pivotTables>
  <data>
    <tabular pivotCacheId="6863915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o_Vibe" xr10:uid="{6381FD89-FA5D-4674-A62B-414C98CF594A}" sourceName="Tempo Vibe">
  <pivotTables>
    <pivotTable tabId="6" name="PivotTable5"/>
    <pivotTable tabId="1" name="PivotTable1"/>
    <pivotTable tabId="1" name="PivotTable2"/>
    <pivotTable tabId="1" name="PivotTable4"/>
    <pivotTable tabId="1" name="PivotTable6"/>
    <pivotTable tabId="1" name="PivotTable7"/>
  </pivotTables>
  <data>
    <tabular pivotCacheId="6863915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nceability" xr10:uid="{C9F02EBB-E5FC-4B50-BBF7-ADF703E9FCAF}" cache="Slicer_Dance_Vibe" caption="Danceability" columnCount="2" rowHeight="640080"/>
  <slicer name="Tempo Vibe" xr10:uid="{60C8DF73-F0E1-4E41-A5FE-778984834DC4}" cache="Slicer_Tempo_Vibe" caption="Tempo Vibe" columnCount="2"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941CB9-A261-4999-A84E-BC36744F0B6C}" name="SpotifyData2025" displayName="SpotifyData2025" ref="A1:Y51" totalsRowShown="0">
  <autoFilter ref="A1:Y51" xr:uid="{65941CB9-A261-4999-A84E-BC36744F0B6C}"/>
  <tableColumns count="25">
    <tableColumn id="1" xr3:uid="{DF8122B1-C0CA-47C9-91E5-65E10C524D1C}" name="Track URI"/>
    <tableColumn id="2" xr3:uid="{544440B4-A767-4DA7-9849-078C073DFEB3}" name="Track Name"/>
    <tableColumn id="3" xr3:uid="{89FF464A-5188-44FE-9A57-401280947DC8}" name="Album Name"/>
    <tableColumn id="4" xr3:uid="{A2625A50-7659-4210-9CD5-C50FB27CA70B}" name="Artist Name(s)"/>
    <tableColumn id="5" xr3:uid="{FCB70002-0CA9-460E-B2BE-8DB75E3D2725}" name="Release Date" dataDxfId="1404"/>
    <tableColumn id="6" xr3:uid="{32943301-965B-4678-843C-9A1168DF2A91}" name="Duration (ms)"/>
    <tableColumn id="7" xr3:uid="{6F999153-8747-4905-B5A6-F2EE6F2EF9B0}" name="Popularity"/>
    <tableColumn id="8" xr3:uid="{138027AE-A9AC-4736-A9B4-4BE6374035B9}" name="Explicit"/>
    <tableColumn id="9" xr3:uid="{7F7989F7-9598-4741-AB77-88EBAB716C4D}" name="Added At"/>
    <tableColumn id="10" xr3:uid="{2B34262F-4D0F-4578-ADA8-35A6C252B3DF}" name="Genres"/>
    <tableColumn id="11" xr3:uid="{75F46F55-81BC-4EF8-AE60-F21FF073C400}" name="Record Label"/>
    <tableColumn id="12" xr3:uid="{C57845B3-ED3E-4A04-A6B9-FAB67FCE5143}" name="Danceability"/>
    <tableColumn id="13" xr3:uid="{9583D5CB-BB45-40A0-8E8F-F8EA0A24F115}" name="Energy"/>
    <tableColumn id="14" xr3:uid="{1D1D07FD-D2E6-47D8-914F-F13096564791}" name="Key"/>
    <tableColumn id="15" xr3:uid="{4F6162B6-3A24-499C-93BF-9D781DB9BB26}" name="Loudness"/>
    <tableColumn id="16" xr3:uid="{5440A52E-4296-4374-89EB-C92939425157}" name="Mode"/>
    <tableColumn id="17" xr3:uid="{CAC0B963-30F2-4ED9-85B7-CFC230B123D0}" name="Speechiness"/>
    <tableColumn id="18" xr3:uid="{4F9F5277-3D0C-4055-918B-AD2AE1B4FBC5}" name="Acousticness"/>
    <tableColumn id="19" xr3:uid="{ADBE49C5-1CEA-4F53-B8DF-D28C33C53803}" name="Instrumentalness"/>
    <tableColumn id="20" xr3:uid="{2F58AA58-DCEF-4672-B12F-0EDEF542955C}" name="Liveness"/>
    <tableColumn id="21" xr3:uid="{69949BA4-4318-4679-A99B-80606C8855F7}" name="Valence"/>
    <tableColumn id="22" xr3:uid="{85B501F1-90F7-4DE3-BF27-6019A22FE1B1}" name="Tempo"/>
    <tableColumn id="23" xr3:uid="{48F416EC-3B26-4DC9-A42F-D8F658BC7B9C}" name="Time Signature"/>
    <tableColumn id="24" xr3:uid="{34ECD51A-CBD7-4DFD-B4AB-FDD694BB837C}" name="Tempo Vibe">
      <calculatedColumnFormula>IF(V2&gt;120,"Fast 🏃‍♂️","Chill 🛋️")</calculatedColumnFormula>
    </tableColumn>
    <tableColumn id="25" xr3:uid="{D474C46A-3322-4819-B6BD-600EFBBA2E87}" name="Dance Vibe" dataDxfId="1403">
      <calculatedColumnFormula>IF(SpotifyData2025[[#This Row],[Danceability]] &gt; 0.65, "Club Banger 🪩", "Head Nod 🎧")</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DB0F-E607-4100-A758-6B5A7C1105BB}">
  <dimension ref="A1:BA54"/>
  <sheetViews>
    <sheetView zoomScale="42" zoomScaleNormal="99" workbookViewId="0">
      <pane ySplit="1" topLeftCell="A2" activePane="bottomLeft" state="frozen"/>
      <selection pane="bottomLeft" activeCell="L161" sqref="L161"/>
    </sheetView>
  </sheetViews>
  <sheetFormatPr defaultRowHeight="14.4" x14ac:dyDescent="0.3"/>
  <cols>
    <col min="1" max="1" width="36.44140625" bestFit="1" customWidth="1"/>
    <col min="2" max="2" width="47.33203125" bestFit="1" customWidth="1"/>
    <col min="3" max="3" width="45.6640625" bestFit="1" customWidth="1"/>
    <col min="4" max="4" width="54.6640625" bestFit="1" customWidth="1"/>
    <col min="5" max="5" width="15" bestFit="1" customWidth="1"/>
    <col min="6" max="6" width="14" bestFit="1" customWidth="1"/>
    <col min="7" max="7" width="11.21875" bestFit="1" customWidth="1"/>
    <col min="8" max="8" width="9" bestFit="1" customWidth="1"/>
    <col min="9" max="9" width="19.44140625" bestFit="1" customWidth="1"/>
    <col min="10" max="10" width="36.109375" bestFit="1" customWidth="1"/>
    <col min="11" max="11" width="51.6640625" bestFit="1" customWidth="1"/>
    <col min="12" max="12" width="13.109375" bestFit="1" customWidth="1"/>
    <col min="13" max="13" width="8.5546875" bestFit="1" customWidth="1"/>
    <col min="14" max="14" width="6" bestFit="1" customWidth="1"/>
    <col min="15" max="15" width="10.88671875" bestFit="1" customWidth="1"/>
    <col min="16" max="16" width="7.6640625" bestFit="1" customWidth="1"/>
    <col min="17" max="17" width="13.44140625" bestFit="1" customWidth="1"/>
    <col min="18" max="18" width="14" bestFit="1" customWidth="1"/>
    <col min="19" max="19" width="17.21875" bestFit="1" customWidth="1"/>
    <col min="20" max="20" width="10.109375" bestFit="1" customWidth="1"/>
    <col min="21" max="21" width="9.77734375" bestFit="1" customWidth="1"/>
    <col min="22" max="22" width="8.6640625" bestFit="1" customWidth="1"/>
    <col min="23" max="23" width="15" customWidth="1"/>
    <col min="24" max="24" width="12.33203125" customWidth="1"/>
    <col min="25" max="25" width="14.33203125" bestFit="1" customWidth="1"/>
    <col min="42" max="42" width="60.44140625" bestFit="1" customWidth="1"/>
    <col min="43" max="43" width="25" bestFit="1" customWidth="1"/>
    <col min="44" max="44" width="31.88671875" bestFit="1" customWidth="1"/>
    <col min="49" max="49" width="31.33203125" bestFit="1" customWidth="1"/>
    <col min="50" max="50" width="19.6640625" bestFit="1" customWidth="1"/>
    <col min="53" max="53" width="25" bestFit="1" customWidth="1"/>
  </cols>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256</v>
      </c>
      <c r="Y1" t="s">
        <v>257</v>
      </c>
    </row>
    <row r="2" spans="1:53" x14ac:dyDescent="0.3">
      <c r="A2" t="s">
        <v>177</v>
      </c>
      <c r="B2" t="s">
        <v>178</v>
      </c>
      <c r="C2" t="s">
        <v>179</v>
      </c>
      <c r="D2" t="s">
        <v>180</v>
      </c>
      <c r="E2" s="1">
        <v>45828</v>
      </c>
      <c r="F2">
        <v>195824</v>
      </c>
      <c r="G2">
        <v>85</v>
      </c>
      <c r="H2" t="b">
        <v>0</v>
      </c>
      <c r="I2" t="s">
        <v>27</v>
      </c>
      <c r="J2" t="s">
        <v>181</v>
      </c>
      <c r="K2" t="s">
        <v>182</v>
      </c>
      <c r="L2">
        <v>0.91600000000000004</v>
      </c>
      <c r="M2">
        <v>0.625</v>
      </c>
      <c r="N2">
        <v>11</v>
      </c>
      <c r="O2">
        <v>-8.3789999999999996</v>
      </c>
      <c r="P2">
        <v>1</v>
      </c>
      <c r="Q2">
        <v>4.8099999999999997E-2</v>
      </c>
      <c r="R2">
        <v>0.44900000000000001</v>
      </c>
      <c r="S2">
        <v>2.2599999999999999E-4</v>
      </c>
      <c r="T2">
        <v>7.4899999999999994E-2</v>
      </c>
      <c r="U2">
        <v>0.76100000000000001</v>
      </c>
      <c r="V2">
        <v>128.03299999999999</v>
      </c>
      <c r="W2">
        <v>4</v>
      </c>
      <c r="X2" t="str">
        <f>IF(V2&gt;120,"Fast 🏃‍♂️","Chill 🛋️")</f>
        <v>Fast 🏃‍♂️</v>
      </c>
      <c r="Y2" t="str">
        <f>IF(SpotifyData2025[[#This Row],[Danceability]] &gt; 0.65, "Club Banger 🪩", "Head Nod 🎧")</f>
        <v>Club Banger 🪩</v>
      </c>
    </row>
    <row r="3" spans="1:53" x14ac:dyDescent="0.3">
      <c r="A3" t="s">
        <v>136</v>
      </c>
      <c r="B3" t="s">
        <v>137</v>
      </c>
      <c r="C3" t="s">
        <v>137</v>
      </c>
      <c r="D3" t="s">
        <v>138</v>
      </c>
      <c r="E3" s="1">
        <v>45416</v>
      </c>
      <c r="F3">
        <v>274192</v>
      </c>
      <c r="G3">
        <v>88</v>
      </c>
      <c r="H3" t="b">
        <v>1</v>
      </c>
      <c r="I3" t="s">
        <v>34</v>
      </c>
      <c r="J3" t="s">
        <v>139</v>
      </c>
      <c r="K3" t="s">
        <v>140</v>
      </c>
      <c r="L3">
        <v>0.89800000000000002</v>
      </c>
      <c r="M3">
        <v>0.47199999999999998</v>
      </c>
      <c r="N3">
        <v>1</v>
      </c>
      <c r="O3">
        <v>-7.0010000000000003</v>
      </c>
      <c r="P3">
        <v>1</v>
      </c>
      <c r="Q3">
        <v>7.7600000000000002E-2</v>
      </c>
      <c r="R3">
        <v>1.0699999999999999E-2</v>
      </c>
      <c r="S3">
        <v>0</v>
      </c>
      <c r="T3">
        <v>0.14099999999999999</v>
      </c>
      <c r="U3">
        <v>0.214</v>
      </c>
      <c r="V3">
        <v>101.06100000000001</v>
      </c>
      <c r="W3">
        <v>4</v>
      </c>
      <c r="X3" t="str">
        <f t="shared" ref="X3:X51" si="0">IF(V3&gt;120,"Fast 🏃‍♂️","Chill 🛋️")</f>
        <v>Chill 🛋️</v>
      </c>
      <c r="Y3" t="str">
        <f>IF(SpotifyData2025[[#This Row],[Danceability]] &gt; 0.65, "Club Banger 🪩", "Head Nod 🎧")</f>
        <v>Club Banger 🪩</v>
      </c>
      <c r="AP3" s="2" t="s">
        <v>251</v>
      </c>
      <c r="AQ3" t="s">
        <v>265</v>
      </c>
      <c r="AR3" t="s">
        <v>255</v>
      </c>
      <c r="AW3" s="2" t="s">
        <v>251</v>
      </c>
      <c r="AX3" t="s">
        <v>261</v>
      </c>
      <c r="BA3" t="s">
        <v>262</v>
      </c>
    </row>
    <row r="4" spans="1:53" x14ac:dyDescent="0.3">
      <c r="A4" t="s">
        <v>108</v>
      </c>
      <c r="B4" t="s">
        <v>109</v>
      </c>
      <c r="C4" t="s">
        <v>110</v>
      </c>
      <c r="D4" t="s">
        <v>111</v>
      </c>
      <c r="E4" s="1">
        <v>45707</v>
      </c>
      <c r="F4">
        <v>150001</v>
      </c>
      <c r="G4">
        <v>88</v>
      </c>
      <c r="H4" t="b">
        <v>1</v>
      </c>
      <c r="I4" t="s">
        <v>27</v>
      </c>
      <c r="J4" t="s">
        <v>112</v>
      </c>
      <c r="K4" t="s">
        <v>113</v>
      </c>
      <c r="L4">
        <v>0.89400000000000002</v>
      </c>
      <c r="M4">
        <v>0.64300000000000002</v>
      </c>
      <c r="N4">
        <v>5</v>
      </c>
      <c r="O4">
        <v>-3.4849999999999999</v>
      </c>
      <c r="P4">
        <v>1</v>
      </c>
      <c r="Q4">
        <v>0.13200000000000001</v>
      </c>
      <c r="R4">
        <v>0.54300000000000004</v>
      </c>
      <c r="S4">
        <v>9.8400000000000007E-4</v>
      </c>
      <c r="T4">
        <v>0.10100000000000001</v>
      </c>
      <c r="U4">
        <v>0.65900000000000003</v>
      </c>
      <c r="V4">
        <v>99.039000000000001</v>
      </c>
      <c r="W4">
        <v>4</v>
      </c>
      <c r="X4" t="str">
        <f t="shared" si="0"/>
        <v>Chill 🛋️</v>
      </c>
      <c r="Y4" t="str">
        <f>IF(SpotifyData2025[[#This Row],[Danceability]] &gt; 0.65, "Club Banger 🪩", "Head Nod 🎧")</f>
        <v>Club Banger 🪩</v>
      </c>
      <c r="AP4" s="3" t="s">
        <v>195</v>
      </c>
      <c r="AQ4" s="6">
        <v>0.90600000000000003</v>
      </c>
      <c r="AR4" s="6">
        <v>0.67900000000000005</v>
      </c>
      <c r="AW4" s="3" t="s">
        <v>259</v>
      </c>
      <c r="AX4" s="12">
        <v>33</v>
      </c>
      <c r="BA4" s="12">
        <v>50</v>
      </c>
    </row>
    <row r="5" spans="1:53" x14ac:dyDescent="0.3">
      <c r="A5" t="s">
        <v>230</v>
      </c>
      <c r="B5" t="s">
        <v>231</v>
      </c>
      <c r="C5" t="s">
        <v>232</v>
      </c>
      <c r="D5" t="s">
        <v>233</v>
      </c>
      <c r="E5" s="1">
        <v>45650</v>
      </c>
      <c r="F5">
        <v>173858</v>
      </c>
      <c r="G5">
        <v>86</v>
      </c>
      <c r="H5" t="b">
        <v>0</v>
      </c>
      <c r="I5" t="s">
        <v>27</v>
      </c>
      <c r="K5" t="s">
        <v>234</v>
      </c>
      <c r="L5">
        <v>0.874</v>
      </c>
      <c r="M5">
        <v>0.61299999999999999</v>
      </c>
      <c r="N5">
        <v>3</v>
      </c>
      <c r="O5">
        <v>-5.6180000000000003</v>
      </c>
      <c r="P5">
        <v>0</v>
      </c>
      <c r="Q5">
        <v>0.17100000000000001</v>
      </c>
      <c r="R5">
        <v>7.9100000000000004E-2</v>
      </c>
      <c r="S5">
        <v>2.0699999999999999E-4</v>
      </c>
      <c r="T5">
        <v>0.13500000000000001</v>
      </c>
      <c r="U5">
        <v>0.78300000000000003</v>
      </c>
      <c r="V5">
        <v>126.935</v>
      </c>
      <c r="W5">
        <v>4</v>
      </c>
      <c r="X5" t="str">
        <f t="shared" si="0"/>
        <v>Fast 🏃‍♂️</v>
      </c>
      <c r="Y5" t="str">
        <f>IF(SpotifyData2025[[#This Row],[Danceability]] &gt; 0.65, "Club Banger 🪩", "Head Nod 🎧")</f>
        <v>Club Banger 🪩</v>
      </c>
      <c r="AP5" s="3" t="s">
        <v>115</v>
      </c>
      <c r="AQ5" s="6">
        <v>0.63300000000000001</v>
      </c>
      <c r="AR5" s="6">
        <v>0.69499999999999995</v>
      </c>
      <c r="AW5" s="3" t="s">
        <v>260</v>
      </c>
      <c r="AX5" s="12">
        <v>17</v>
      </c>
    </row>
    <row r="6" spans="1:53" x14ac:dyDescent="0.3">
      <c r="A6" t="s">
        <v>200</v>
      </c>
      <c r="B6" t="s">
        <v>201</v>
      </c>
      <c r="C6" t="s">
        <v>202</v>
      </c>
      <c r="D6" t="s">
        <v>203</v>
      </c>
      <c r="E6" s="1">
        <v>45708</v>
      </c>
      <c r="F6">
        <v>165045</v>
      </c>
      <c r="G6">
        <v>86</v>
      </c>
      <c r="H6" t="b">
        <v>0</v>
      </c>
      <c r="I6" t="s">
        <v>27</v>
      </c>
      <c r="K6" t="s">
        <v>204</v>
      </c>
      <c r="L6">
        <v>0.86099999999999999</v>
      </c>
      <c r="M6">
        <v>0.81499999999999995</v>
      </c>
      <c r="N6">
        <v>11</v>
      </c>
      <c r="O6">
        <v>-3.6720000000000002</v>
      </c>
      <c r="P6">
        <v>0</v>
      </c>
      <c r="Q6">
        <v>3.49E-2</v>
      </c>
      <c r="R6">
        <v>5.0500000000000003E-2</v>
      </c>
      <c r="S6">
        <v>1.39E-3</v>
      </c>
      <c r="T6">
        <v>0.1</v>
      </c>
      <c r="U6">
        <v>0.88600000000000001</v>
      </c>
      <c r="V6">
        <v>106.97799999999999</v>
      </c>
      <c r="W6">
        <v>4</v>
      </c>
      <c r="X6" t="str">
        <f t="shared" si="0"/>
        <v>Chill 🛋️</v>
      </c>
      <c r="Y6" t="str">
        <f>IF(SpotifyData2025[[#This Row],[Danceability]] &gt; 0.65, "Club Banger 🪩", "Head Nod 🎧")</f>
        <v>Club Banger 🪩</v>
      </c>
      <c r="AP6" s="3" t="s">
        <v>37</v>
      </c>
      <c r="AQ6" s="6">
        <v>0.78300000000000003</v>
      </c>
      <c r="AR6" s="6">
        <v>0.77700000000000002</v>
      </c>
      <c r="AW6" s="3" t="s">
        <v>252</v>
      </c>
      <c r="AX6" s="12">
        <v>50</v>
      </c>
    </row>
    <row r="7" spans="1:53" x14ac:dyDescent="0.3">
      <c r="A7" t="s">
        <v>220</v>
      </c>
      <c r="B7" t="s">
        <v>221</v>
      </c>
      <c r="C7" t="s">
        <v>64</v>
      </c>
      <c r="D7" t="s">
        <v>222</v>
      </c>
      <c r="E7" s="1">
        <v>45618</v>
      </c>
      <c r="F7">
        <v>220690</v>
      </c>
      <c r="G7">
        <v>85</v>
      </c>
      <c r="H7" t="b">
        <v>1</v>
      </c>
      <c r="I7" t="s">
        <v>27</v>
      </c>
      <c r="J7" t="s">
        <v>223</v>
      </c>
      <c r="K7" t="s">
        <v>67</v>
      </c>
      <c r="L7">
        <v>0.85499999999999998</v>
      </c>
      <c r="M7">
        <v>0.52900000000000003</v>
      </c>
      <c r="N7">
        <v>6</v>
      </c>
      <c r="O7">
        <v>-6.6790000000000003</v>
      </c>
      <c r="P7">
        <v>0</v>
      </c>
      <c r="Q7">
        <v>0.26300000000000001</v>
      </c>
      <c r="R7">
        <v>8.3699999999999997E-2</v>
      </c>
      <c r="S7">
        <v>0</v>
      </c>
      <c r="T7">
        <v>0.42299999999999999</v>
      </c>
      <c r="U7">
        <v>0.54800000000000004</v>
      </c>
      <c r="V7">
        <v>100.036</v>
      </c>
      <c r="W7">
        <v>4</v>
      </c>
      <c r="X7" t="str">
        <f t="shared" si="0"/>
        <v>Chill 🛋️</v>
      </c>
      <c r="Y7" t="str">
        <f>IF(SpotifyData2025[[#This Row],[Danceability]] &gt; 0.65, "Club Banger 🪩", "Head Nod 🎧")</f>
        <v>Club Banger 🪩</v>
      </c>
      <c r="AP7" s="3" t="s">
        <v>53</v>
      </c>
      <c r="AQ7" s="6">
        <v>0.72299999999999998</v>
      </c>
      <c r="AR7" s="6">
        <v>0.436</v>
      </c>
      <c r="BA7" t="s">
        <v>265</v>
      </c>
    </row>
    <row r="8" spans="1:53" x14ac:dyDescent="0.3">
      <c r="A8" t="s">
        <v>235</v>
      </c>
      <c r="B8" t="s">
        <v>236</v>
      </c>
      <c r="C8" t="s">
        <v>237</v>
      </c>
      <c r="D8" t="s">
        <v>238</v>
      </c>
      <c r="E8" s="1">
        <v>45611</v>
      </c>
      <c r="F8">
        <v>191018</v>
      </c>
      <c r="G8">
        <v>91</v>
      </c>
      <c r="H8" t="b">
        <v>1</v>
      </c>
      <c r="I8" t="s">
        <v>27</v>
      </c>
      <c r="J8" t="s">
        <v>239</v>
      </c>
      <c r="K8" t="s">
        <v>240</v>
      </c>
      <c r="L8">
        <v>0.83299999999999996</v>
      </c>
      <c r="M8">
        <v>0.56299999999999994</v>
      </c>
      <c r="N8">
        <v>4</v>
      </c>
      <c r="O8">
        <v>-5.593</v>
      </c>
      <c r="P8">
        <v>0</v>
      </c>
      <c r="Q8">
        <v>0.20399999999999999</v>
      </c>
      <c r="R8">
        <v>0.52800000000000002</v>
      </c>
      <c r="S8">
        <v>1.27E-5</v>
      </c>
      <c r="T8">
        <v>0.13900000000000001</v>
      </c>
      <c r="U8">
        <v>0.34300000000000003</v>
      </c>
      <c r="V8">
        <v>105.008</v>
      </c>
      <c r="W8">
        <v>4</v>
      </c>
      <c r="X8" t="str">
        <f t="shared" si="0"/>
        <v>Chill 🛋️</v>
      </c>
      <c r="Y8" t="str">
        <f>IF(SpotifyData2025[[#This Row],[Danceability]] &gt; 0.65, "Club Banger 🪩", "Head Nod 🎧")</f>
        <v>Club Banger 🪩</v>
      </c>
      <c r="AP8" s="3" t="s">
        <v>81</v>
      </c>
      <c r="AQ8" s="6">
        <v>3.32E-3</v>
      </c>
      <c r="AR8" s="6">
        <v>0.16800000000000001</v>
      </c>
      <c r="BA8" s="6">
        <v>0.59120639999999991</v>
      </c>
    </row>
    <row r="9" spans="1:53" x14ac:dyDescent="0.3">
      <c r="A9" t="s">
        <v>170</v>
      </c>
      <c r="B9" t="s">
        <v>171</v>
      </c>
      <c r="C9" t="s">
        <v>172</v>
      </c>
      <c r="D9" t="s">
        <v>173</v>
      </c>
      <c r="E9" s="1">
        <v>30484</v>
      </c>
      <c r="F9">
        <v>253920</v>
      </c>
      <c r="G9">
        <v>93</v>
      </c>
      <c r="H9" t="b">
        <v>0</v>
      </c>
      <c r="I9" t="s">
        <v>27</v>
      </c>
      <c r="K9" t="s">
        <v>174</v>
      </c>
      <c r="L9">
        <v>0.82</v>
      </c>
      <c r="M9">
        <v>0.45200000000000001</v>
      </c>
      <c r="N9">
        <v>1</v>
      </c>
      <c r="O9">
        <v>-9.7959999999999994</v>
      </c>
      <c r="P9">
        <v>1</v>
      </c>
      <c r="Q9">
        <v>3.4799999999999998E-2</v>
      </c>
      <c r="R9">
        <v>0.54300000000000004</v>
      </c>
      <c r="S9">
        <v>2.9399999999999999E-3</v>
      </c>
      <c r="T9">
        <v>7.1400000000000005E-2</v>
      </c>
      <c r="U9">
        <v>0.74</v>
      </c>
      <c r="V9">
        <v>117.401</v>
      </c>
      <c r="W9">
        <v>4</v>
      </c>
      <c r="X9" t="str">
        <f t="shared" si="0"/>
        <v>Chill 🛋️</v>
      </c>
      <c r="Y9" t="str">
        <f>IF(SpotifyData2025[[#This Row],[Danceability]] &gt; 0.65, "Club Banger 🪩", "Head Nod 🎧")</f>
        <v>Club Banger 🪩</v>
      </c>
      <c r="AP9" s="3" t="s">
        <v>83</v>
      </c>
      <c r="AQ9" s="6">
        <v>0.47099999999999997</v>
      </c>
      <c r="AR9" s="6">
        <v>0.47199999999999998</v>
      </c>
    </row>
    <row r="10" spans="1:53" x14ac:dyDescent="0.3">
      <c r="A10" t="s">
        <v>213</v>
      </c>
      <c r="B10" t="s">
        <v>214</v>
      </c>
      <c r="C10" t="s">
        <v>215</v>
      </c>
      <c r="D10" t="s">
        <v>216</v>
      </c>
      <c r="E10" s="1">
        <v>45723</v>
      </c>
      <c r="F10">
        <v>123517</v>
      </c>
      <c r="G10">
        <v>88</v>
      </c>
      <c r="H10" t="b">
        <v>1</v>
      </c>
      <c r="I10" t="s">
        <v>27</v>
      </c>
      <c r="J10" t="s">
        <v>40</v>
      </c>
      <c r="K10" t="s">
        <v>217</v>
      </c>
      <c r="L10">
        <v>0.81100000000000005</v>
      </c>
      <c r="M10">
        <v>0.74299999999999999</v>
      </c>
      <c r="N10">
        <v>10</v>
      </c>
      <c r="O10">
        <v>-5.3209999999999997</v>
      </c>
      <c r="P10">
        <v>0</v>
      </c>
      <c r="Q10">
        <v>6.1100000000000002E-2</v>
      </c>
      <c r="R10">
        <v>0.28100000000000003</v>
      </c>
      <c r="S10">
        <v>6.7099999999999998E-3</v>
      </c>
      <c r="T10">
        <v>8.6800000000000002E-2</v>
      </c>
      <c r="U10">
        <v>0.81499999999999995</v>
      </c>
      <c r="V10">
        <v>130.01900000000001</v>
      </c>
      <c r="W10">
        <v>4</v>
      </c>
      <c r="X10" t="str">
        <f t="shared" si="0"/>
        <v>Fast 🏃‍♂️</v>
      </c>
      <c r="Y10" t="str">
        <f>IF(SpotifyData2025[[#This Row],[Danceability]] &gt; 0.65, "Club Banger 🪩", "Head Nod 🎧")</f>
        <v>Club Banger 🪩</v>
      </c>
      <c r="AP10" s="3" t="s">
        <v>31</v>
      </c>
      <c r="AQ10" s="6">
        <v>0.50700000000000001</v>
      </c>
      <c r="AR10" s="6">
        <v>0.747</v>
      </c>
    </row>
    <row r="11" spans="1:53" x14ac:dyDescent="0.3">
      <c r="A11" t="s">
        <v>99</v>
      </c>
      <c r="B11" t="s">
        <v>100</v>
      </c>
      <c r="C11" t="s">
        <v>101</v>
      </c>
      <c r="D11" t="s">
        <v>102</v>
      </c>
      <c r="E11" s="1">
        <v>45464</v>
      </c>
      <c r="F11">
        <v>284066</v>
      </c>
      <c r="G11">
        <v>83</v>
      </c>
      <c r="H11" t="b">
        <v>1</v>
      </c>
      <c r="I11" t="s">
        <v>27</v>
      </c>
      <c r="K11" t="s">
        <v>103</v>
      </c>
      <c r="L11">
        <v>0.79800000000000004</v>
      </c>
      <c r="M11">
        <v>0.56200000000000006</v>
      </c>
      <c r="N11">
        <v>9</v>
      </c>
      <c r="O11">
        <v>-5.9130000000000003</v>
      </c>
      <c r="P11">
        <v>1</v>
      </c>
      <c r="Q11">
        <v>3.7499999999999999E-2</v>
      </c>
      <c r="R11">
        <v>0.11</v>
      </c>
      <c r="S11">
        <v>6.0600000000000003E-3</v>
      </c>
      <c r="T11">
        <v>0.122</v>
      </c>
      <c r="U11">
        <v>0.64700000000000002</v>
      </c>
      <c r="V11">
        <v>110.991</v>
      </c>
      <c r="W11">
        <v>4</v>
      </c>
      <c r="X11" t="str">
        <f t="shared" si="0"/>
        <v>Chill 🛋️</v>
      </c>
      <c r="Y11" t="str">
        <f>IF(SpotifyData2025[[#This Row],[Danceability]] &gt; 0.65, "Club Banger 🪩", "Head Nod 🎧")</f>
        <v>Club Banger 🪩</v>
      </c>
      <c r="AP11" s="3" t="s">
        <v>242</v>
      </c>
      <c r="AQ11" s="6">
        <v>0.317</v>
      </c>
      <c r="AR11" s="6">
        <v>0.746</v>
      </c>
    </row>
    <row r="12" spans="1:53" x14ac:dyDescent="0.3">
      <c r="A12" t="s">
        <v>158</v>
      </c>
      <c r="B12" t="s">
        <v>159</v>
      </c>
      <c r="C12" t="s">
        <v>160</v>
      </c>
      <c r="D12" t="s">
        <v>161</v>
      </c>
      <c r="E12" s="1">
        <v>45513</v>
      </c>
      <c r="F12">
        <v>213466</v>
      </c>
      <c r="G12">
        <v>89</v>
      </c>
      <c r="H12" t="b">
        <v>0</v>
      </c>
      <c r="I12" t="s">
        <v>27</v>
      </c>
      <c r="J12" t="s">
        <v>162</v>
      </c>
      <c r="K12" t="s">
        <v>41</v>
      </c>
      <c r="L12">
        <v>0.77900000000000003</v>
      </c>
      <c r="M12">
        <v>0.73099999999999998</v>
      </c>
      <c r="N12">
        <v>0</v>
      </c>
      <c r="O12">
        <v>-6.1760000000000002</v>
      </c>
      <c r="P12">
        <v>1</v>
      </c>
      <c r="Q12">
        <v>3.0599999999999999E-2</v>
      </c>
      <c r="R12">
        <v>0.29599999999999999</v>
      </c>
      <c r="S12">
        <v>0</v>
      </c>
      <c r="T12">
        <v>0.128</v>
      </c>
      <c r="U12">
        <v>0.81399999999999995</v>
      </c>
      <c r="V12">
        <v>114.001</v>
      </c>
      <c r="W12">
        <v>4</v>
      </c>
      <c r="X12" t="str">
        <f t="shared" si="0"/>
        <v>Chill 🛋️</v>
      </c>
      <c r="Y12" t="str">
        <f>IF(SpotifyData2025[[#This Row],[Danceability]] &gt; 0.65, "Club Banger 🪩", "Head Nod 🎧")</f>
        <v>Club Banger 🪩</v>
      </c>
      <c r="AP12" s="3" t="s">
        <v>231</v>
      </c>
      <c r="AQ12" s="6">
        <v>0.61299999999999999</v>
      </c>
      <c r="AR12" s="6">
        <v>0.874</v>
      </c>
    </row>
    <row r="13" spans="1:53" x14ac:dyDescent="0.3">
      <c r="A13" t="s">
        <v>36</v>
      </c>
      <c r="B13" t="s">
        <v>37</v>
      </c>
      <c r="C13" t="s">
        <v>38</v>
      </c>
      <c r="D13" t="s">
        <v>39</v>
      </c>
      <c r="E13" s="1">
        <v>45632</v>
      </c>
      <c r="F13">
        <v>169917</v>
      </c>
      <c r="G13">
        <v>84</v>
      </c>
      <c r="H13" t="b">
        <v>0</v>
      </c>
      <c r="I13" t="s">
        <v>27</v>
      </c>
      <c r="J13" t="s">
        <v>40</v>
      </c>
      <c r="K13" t="s">
        <v>41</v>
      </c>
      <c r="L13">
        <v>0.77700000000000002</v>
      </c>
      <c r="M13">
        <v>0.78300000000000003</v>
      </c>
      <c r="N13">
        <v>0</v>
      </c>
      <c r="O13">
        <v>-4.4770000000000003</v>
      </c>
      <c r="P13">
        <v>0</v>
      </c>
      <c r="Q13">
        <v>0.26</v>
      </c>
      <c r="R13">
        <v>2.8299999999999999E-2</v>
      </c>
      <c r="S13">
        <v>0</v>
      </c>
      <c r="T13">
        <v>0.35499999999999998</v>
      </c>
      <c r="U13">
        <v>0.93899999999999995</v>
      </c>
      <c r="V13">
        <v>149.02699999999999</v>
      </c>
      <c r="W13">
        <v>4</v>
      </c>
      <c r="X13" t="str">
        <f t="shared" si="0"/>
        <v>Fast 🏃‍♂️</v>
      </c>
      <c r="Y13" t="str">
        <f>IF(SpotifyData2025[[#This Row],[Danceability]] &gt; 0.65, "Club Banger 🪩", "Head Nod 🎧")</f>
        <v>Club Banger 🪩</v>
      </c>
      <c r="AP13" s="3" t="s">
        <v>225</v>
      </c>
      <c r="AQ13" s="6">
        <v>0.43</v>
      </c>
      <c r="AR13" s="6">
        <v>0.51500000000000001</v>
      </c>
    </row>
    <row r="14" spans="1:53" x14ac:dyDescent="0.3">
      <c r="A14" t="s">
        <v>93</v>
      </c>
      <c r="B14" t="s">
        <v>94</v>
      </c>
      <c r="C14" t="s">
        <v>95</v>
      </c>
      <c r="D14" t="s">
        <v>96</v>
      </c>
      <c r="E14" s="1">
        <v>45688</v>
      </c>
      <c r="F14">
        <v>256000</v>
      </c>
      <c r="G14">
        <v>90</v>
      </c>
      <c r="H14" t="b">
        <v>1</v>
      </c>
      <c r="I14" t="s">
        <v>27</v>
      </c>
      <c r="J14" t="s">
        <v>97</v>
      </c>
      <c r="K14" t="s">
        <v>98</v>
      </c>
      <c r="L14">
        <v>0.76800000000000002</v>
      </c>
      <c r="M14">
        <v>0.77500000000000002</v>
      </c>
      <c r="N14">
        <v>11</v>
      </c>
      <c r="O14">
        <v>-5.0599999999999996</v>
      </c>
      <c r="P14">
        <v>0</v>
      </c>
      <c r="Q14">
        <v>4.6600000000000003E-2</v>
      </c>
      <c r="R14">
        <v>6.9000000000000006E-2</v>
      </c>
      <c r="S14">
        <v>2.96E-6</v>
      </c>
      <c r="T14">
        <v>0.13800000000000001</v>
      </c>
      <c r="U14">
        <v>0.6</v>
      </c>
      <c r="V14">
        <v>119.999</v>
      </c>
      <c r="W14">
        <v>4</v>
      </c>
      <c r="X14" t="str">
        <f t="shared" si="0"/>
        <v>Chill 🛋️</v>
      </c>
      <c r="Y14" t="str">
        <f>IF(SpotifyData2025[[#This Row],[Danceability]] &gt; 0.65, "Club Banger 🪩", "Head Nod 🎧")</f>
        <v>Club Banger 🪩</v>
      </c>
      <c r="AP14" s="3" t="s">
        <v>24</v>
      </c>
      <c r="AQ14" s="6">
        <v>0.60099999999999998</v>
      </c>
      <c r="AR14" s="6">
        <v>0.51900000000000002</v>
      </c>
    </row>
    <row r="15" spans="1:53" x14ac:dyDescent="0.3">
      <c r="A15" t="s">
        <v>30</v>
      </c>
      <c r="B15" t="s">
        <v>31</v>
      </c>
      <c r="C15" t="s">
        <v>32</v>
      </c>
      <c r="D15" t="s">
        <v>33</v>
      </c>
      <c r="E15" s="1">
        <v>45429</v>
      </c>
      <c r="F15">
        <v>210373</v>
      </c>
      <c r="G15">
        <v>94</v>
      </c>
      <c r="H15" t="b">
        <v>0</v>
      </c>
      <c r="I15" t="s">
        <v>34</v>
      </c>
      <c r="K15" t="s">
        <v>35</v>
      </c>
      <c r="L15">
        <v>0.747</v>
      </c>
      <c r="M15">
        <v>0.50700000000000001</v>
      </c>
      <c r="N15">
        <v>2</v>
      </c>
      <c r="O15">
        <v>-10.170999999999999</v>
      </c>
      <c r="P15">
        <v>1</v>
      </c>
      <c r="Q15">
        <v>3.5799999999999998E-2</v>
      </c>
      <c r="R15">
        <v>0.2</v>
      </c>
      <c r="S15">
        <v>6.08E-2</v>
      </c>
      <c r="T15">
        <v>0.11700000000000001</v>
      </c>
      <c r="U15">
        <v>0.438</v>
      </c>
      <c r="V15">
        <v>104.97799999999999</v>
      </c>
      <c r="W15">
        <v>4</v>
      </c>
      <c r="X15" t="str">
        <f t="shared" si="0"/>
        <v>Chill 🛋️</v>
      </c>
      <c r="Y15" t="str">
        <f>IF(SpotifyData2025[[#This Row],[Danceability]] &gt; 0.65, "Club Banger 🪩", "Head Nod 🎧")</f>
        <v>Club Banger 🪩</v>
      </c>
      <c r="AP15" s="3" t="s">
        <v>210</v>
      </c>
      <c r="AQ15" s="6">
        <v>0.56200000000000006</v>
      </c>
      <c r="AR15" s="6">
        <v>0.72899999999999998</v>
      </c>
    </row>
    <row r="16" spans="1:53" x14ac:dyDescent="0.3">
      <c r="A16" t="s">
        <v>241</v>
      </c>
      <c r="B16" t="s">
        <v>242</v>
      </c>
      <c r="C16" t="s">
        <v>243</v>
      </c>
      <c r="D16" t="s">
        <v>244</v>
      </c>
      <c r="E16" s="1">
        <v>45926</v>
      </c>
      <c r="F16">
        <v>214357</v>
      </c>
      <c r="G16">
        <v>73</v>
      </c>
      <c r="H16" t="b">
        <v>0</v>
      </c>
      <c r="I16" t="s">
        <v>27</v>
      </c>
      <c r="K16" t="s">
        <v>245</v>
      </c>
      <c r="L16">
        <v>0.746</v>
      </c>
      <c r="M16">
        <v>0.317</v>
      </c>
      <c r="N16">
        <v>4</v>
      </c>
      <c r="O16">
        <v>-11.981999999999999</v>
      </c>
      <c r="P16">
        <v>1</v>
      </c>
      <c r="Q16">
        <v>3.4200000000000001E-2</v>
      </c>
      <c r="R16">
        <v>0.93300000000000005</v>
      </c>
      <c r="S16">
        <v>1.8599999999999998E-2</v>
      </c>
      <c r="T16">
        <v>0.121</v>
      </c>
      <c r="U16">
        <v>0.58499999999999996</v>
      </c>
      <c r="V16">
        <v>97.49</v>
      </c>
      <c r="W16">
        <v>3</v>
      </c>
      <c r="X16" t="str">
        <f t="shared" si="0"/>
        <v>Chill 🛋️</v>
      </c>
      <c r="Y16" t="str">
        <f>IF(SpotifyData2025[[#This Row],[Danceability]] &gt; 0.65, "Club Banger 🪩", "Head Nod 🎧")</f>
        <v>Club Banger 🪩</v>
      </c>
      <c r="AP16" s="3" t="s">
        <v>47</v>
      </c>
      <c r="AQ16" s="6">
        <v>0.13100000000000001</v>
      </c>
      <c r="AR16" s="6">
        <v>0.625</v>
      </c>
      <c r="AW16" s="2" t="s">
        <v>251</v>
      </c>
      <c r="AX16" t="s">
        <v>253</v>
      </c>
    </row>
    <row r="17" spans="1:50" x14ac:dyDescent="0.3">
      <c r="A17" t="s">
        <v>209</v>
      </c>
      <c r="B17" t="s">
        <v>210</v>
      </c>
      <c r="C17" t="s">
        <v>211</v>
      </c>
      <c r="D17" t="s">
        <v>212</v>
      </c>
      <c r="E17" s="1">
        <v>45793</v>
      </c>
      <c r="F17">
        <v>180716</v>
      </c>
      <c r="G17">
        <v>85</v>
      </c>
      <c r="H17" t="b">
        <v>0</v>
      </c>
      <c r="I17" t="s">
        <v>27</v>
      </c>
      <c r="J17" t="s">
        <v>40</v>
      </c>
      <c r="K17" t="s">
        <v>145</v>
      </c>
      <c r="L17">
        <v>0.72899999999999998</v>
      </c>
      <c r="M17">
        <v>0.56200000000000006</v>
      </c>
      <c r="N17">
        <v>8</v>
      </c>
      <c r="O17">
        <v>-5.49</v>
      </c>
      <c r="P17">
        <v>1</v>
      </c>
      <c r="Q17">
        <v>3.04E-2</v>
      </c>
      <c r="R17">
        <v>0.48399999999999999</v>
      </c>
      <c r="S17">
        <v>0</v>
      </c>
      <c r="T17">
        <v>0.105</v>
      </c>
      <c r="U17">
        <v>0.75700000000000001</v>
      </c>
      <c r="V17">
        <v>111.976</v>
      </c>
      <c r="W17">
        <v>4</v>
      </c>
      <c r="X17" t="str">
        <f t="shared" si="0"/>
        <v>Chill 🛋️</v>
      </c>
      <c r="Y17" t="str">
        <f>IF(SpotifyData2025[[#This Row],[Danceability]] &gt; 0.65, "Club Banger 🪩", "Head Nod 🎧")</f>
        <v>Club Banger 🪩</v>
      </c>
      <c r="AP17" s="3" t="s">
        <v>164</v>
      </c>
      <c r="AQ17" s="6">
        <v>0.46400000000000002</v>
      </c>
      <c r="AR17" s="6">
        <v>0.36</v>
      </c>
      <c r="AW17" s="3" t="s">
        <v>49</v>
      </c>
      <c r="AX17" s="12">
        <v>1.3973199999999999</v>
      </c>
    </row>
    <row r="18" spans="1:50" x14ac:dyDescent="0.3">
      <c r="A18" t="s">
        <v>62</v>
      </c>
      <c r="B18" t="s">
        <v>63</v>
      </c>
      <c r="C18" t="s">
        <v>64</v>
      </c>
      <c r="D18" t="s">
        <v>65</v>
      </c>
      <c r="E18" s="1">
        <v>45617</v>
      </c>
      <c r="F18">
        <v>177598</v>
      </c>
      <c r="G18">
        <v>86</v>
      </c>
      <c r="H18" t="b">
        <v>0</v>
      </c>
      <c r="I18" t="s">
        <v>27</v>
      </c>
      <c r="J18" t="s">
        <v>66</v>
      </c>
      <c r="K18" t="s">
        <v>67</v>
      </c>
      <c r="L18">
        <v>0.70699999999999996</v>
      </c>
      <c r="M18">
        <v>0.57499999999999996</v>
      </c>
      <c r="N18">
        <v>2</v>
      </c>
      <c r="O18">
        <v>-7.5460000000000003</v>
      </c>
      <c r="P18">
        <v>1</v>
      </c>
      <c r="Q18">
        <v>0.125</v>
      </c>
      <c r="R18">
        <v>0.251</v>
      </c>
      <c r="S18">
        <v>0</v>
      </c>
      <c r="T18">
        <v>0.248</v>
      </c>
      <c r="U18">
        <v>0.57599999999999996</v>
      </c>
      <c r="V18">
        <v>138.00800000000001</v>
      </c>
      <c r="W18">
        <v>4</v>
      </c>
      <c r="X18" t="str">
        <f t="shared" si="0"/>
        <v>Fast 🏃‍♂️</v>
      </c>
      <c r="Y18" t="str">
        <f>IF(SpotifyData2025[[#This Row],[Danceability]] &gt; 0.65, "Club Banger 🪩", "Head Nod 🎧")</f>
        <v>Club Banger 🪩</v>
      </c>
      <c r="AP18" s="3" t="s">
        <v>88</v>
      </c>
      <c r="AQ18" s="6">
        <v>0.77600000000000002</v>
      </c>
      <c r="AR18" s="6">
        <v>0.69899999999999995</v>
      </c>
      <c r="AW18" s="3" t="s">
        <v>199</v>
      </c>
      <c r="AX18" s="12">
        <v>0.98099999999999998</v>
      </c>
    </row>
    <row r="19" spans="1:50" x14ac:dyDescent="0.3">
      <c r="A19" t="s">
        <v>188</v>
      </c>
      <c r="B19" t="s">
        <v>189</v>
      </c>
      <c r="C19" t="s">
        <v>190</v>
      </c>
      <c r="D19" t="s">
        <v>191</v>
      </c>
      <c r="E19" s="1">
        <v>45443</v>
      </c>
      <c r="F19">
        <v>236906</v>
      </c>
      <c r="G19">
        <v>90</v>
      </c>
      <c r="H19" t="b">
        <v>0</v>
      </c>
      <c r="I19" t="s">
        <v>27</v>
      </c>
      <c r="J19" t="s">
        <v>192</v>
      </c>
      <c r="K19" t="s">
        <v>193</v>
      </c>
      <c r="L19">
        <v>0.70499999999999996</v>
      </c>
      <c r="M19">
        <v>0.33900000000000002</v>
      </c>
      <c r="N19">
        <v>7</v>
      </c>
      <c r="O19">
        <v>-10.612</v>
      </c>
      <c r="P19">
        <v>1</v>
      </c>
      <c r="Q19">
        <v>2.7799999999999998E-2</v>
      </c>
      <c r="R19">
        <v>0.55200000000000005</v>
      </c>
      <c r="S19">
        <v>8.14E-2</v>
      </c>
      <c r="T19">
        <v>0.12</v>
      </c>
      <c r="U19">
        <v>0.45700000000000002</v>
      </c>
      <c r="V19">
        <v>97.989000000000004</v>
      </c>
      <c r="W19">
        <v>4</v>
      </c>
      <c r="X19" t="str">
        <f t="shared" si="0"/>
        <v>Chill 🛋️</v>
      </c>
      <c r="Y19" t="str">
        <f>IF(SpotifyData2025[[#This Row],[Danceability]] &gt; 0.65, "Club Banger 🪩", "Head Nod 🎧")</f>
        <v>Club Banger 🪩</v>
      </c>
      <c r="AP19" s="3" t="s">
        <v>171</v>
      </c>
      <c r="AQ19" s="6">
        <v>0.45200000000000001</v>
      </c>
      <c r="AR19" s="6">
        <v>0.82</v>
      </c>
      <c r="AW19" s="3" t="s">
        <v>134</v>
      </c>
      <c r="AX19" s="12">
        <v>1.232</v>
      </c>
    </row>
    <row r="20" spans="1:50" x14ac:dyDescent="0.3">
      <c r="A20" t="s">
        <v>132</v>
      </c>
      <c r="B20" t="s">
        <v>133</v>
      </c>
      <c r="C20" t="s">
        <v>133</v>
      </c>
      <c r="D20" t="s">
        <v>134</v>
      </c>
      <c r="E20" s="1">
        <v>45387</v>
      </c>
      <c r="F20">
        <v>218423</v>
      </c>
      <c r="G20">
        <v>90</v>
      </c>
      <c r="H20" t="b">
        <v>0</v>
      </c>
      <c r="I20" t="s">
        <v>34</v>
      </c>
      <c r="K20" t="s">
        <v>135</v>
      </c>
      <c r="L20">
        <v>0.7</v>
      </c>
      <c r="M20">
        <v>0.58199999999999996</v>
      </c>
      <c r="N20">
        <v>11</v>
      </c>
      <c r="O20">
        <v>-5.96</v>
      </c>
      <c r="P20">
        <v>0</v>
      </c>
      <c r="Q20">
        <v>3.56E-2</v>
      </c>
      <c r="R20">
        <v>5.0200000000000002E-2</v>
      </c>
      <c r="S20">
        <v>0</v>
      </c>
      <c r="T20">
        <v>8.8099999999999998E-2</v>
      </c>
      <c r="U20">
        <v>0.78500000000000003</v>
      </c>
      <c r="V20">
        <v>116.712</v>
      </c>
      <c r="W20">
        <v>4</v>
      </c>
      <c r="X20" t="str">
        <f t="shared" si="0"/>
        <v>Chill 🛋️</v>
      </c>
      <c r="Y20" t="str">
        <f>IF(SpotifyData2025[[#This Row],[Danceability]] &gt; 0.65, "Club Banger 🪩", "Head Nod 🎧")</f>
        <v>Club Banger 🪩</v>
      </c>
      <c r="AP20" s="3" t="s">
        <v>58</v>
      </c>
      <c r="AQ20" s="6">
        <v>0.68600000000000005</v>
      </c>
      <c r="AR20" s="6">
        <v>0.65100000000000002</v>
      </c>
      <c r="AW20" s="3" t="s">
        <v>71</v>
      </c>
      <c r="AX20" s="12">
        <v>0.80800000000000005</v>
      </c>
    </row>
    <row r="21" spans="1:50" x14ac:dyDescent="0.3">
      <c r="A21" t="s">
        <v>87</v>
      </c>
      <c r="B21" t="s">
        <v>88</v>
      </c>
      <c r="C21" t="s">
        <v>89</v>
      </c>
      <c r="D21" t="s">
        <v>90</v>
      </c>
      <c r="E21" s="1">
        <v>45527</v>
      </c>
      <c r="F21">
        <v>175459</v>
      </c>
      <c r="G21">
        <v>87</v>
      </c>
      <c r="H21" t="b">
        <v>1</v>
      </c>
      <c r="I21" t="s">
        <v>34</v>
      </c>
      <c r="J21" t="s">
        <v>91</v>
      </c>
      <c r="K21" t="s">
        <v>92</v>
      </c>
      <c r="L21">
        <v>0.69899999999999995</v>
      </c>
      <c r="M21">
        <v>0.77600000000000002</v>
      </c>
      <c r="N21">
        <v>0</v>
      </c>
      <c r="O21">
        <v>-5.282</v>
      </c>
      <c r="P21">
        <v>1</v>
      </c>
      <c r="Q21">
        <v>2.93E-2</v>
      </c>
      <c r="R21">
        <v>0.13100000000000001</v>
      </c>
      <c r="S21">
        <v>5.3600000000000004E-6</v>
      </c>
      <c r="T21">
        <v>0.20499999999999999</v>
      </c>
      <c r="U21">
        <v>0.70799999999999996</v>
      </c>
      <c r="V21">
        <v>103.96299999999999</v>
      </c>
      <c r="W21">
        <v>4</v>
      </c>
      <c r="X21" t="str">
        <f t="shared" si="0"/>
        <v>Chill 🛋️</v>
      </c>
      <c r="Y21" t="str">
        <f>IF(SpotifyData2025[[#This Row],[Danceability]] &gt; 0.65, "Club Banger 🪩", "Head Nod 🎧")</f>
        <v>Club Banger 🪩</v>
      </c>
      <c r="AP21" s="3" t="s">
        <v>133</v>
      </c>
      <c r="AQ21" s="6">
        <v>0.58199999999999996</v>
      </c>
      <c r="AR21" s="6">
        <v>0.7</v>
      </c>
      <c r="AW21" s="3" t="s">
        <v>65</v>
      </c>
      <c r="AX21" s="12">
        <v>1.208</v>
      </c>
    </row>
    <row r="22" spans="1:50" x14ac:dyDescent="0.3">
      <c r="A22" t="s">
        <v>114</v>
      </c>
      <c r="B22" t="s">
        <v>115</v>
      </c>
      <c r="C22" t="s">
        <v>116</v>
      </c>
      <c r="D22" t="s">
        <v>65</v>
      </c>
      <c r="E22" s="1">
        <v>43140</v>
      </c>
      <c r="F22">
        <v>232186</v>
      </c>
      <c r="G22">
        <v>90</v>
      </c>
      <c r="H22" t="b">
        <v>1</v>
      </c>
      <c r="I22" t="s">
        <v>27</v>
      </c>
      <c r="J22" t="s">
        <v>66</v>
      </c>
      <c r="K22" t="s">
        <v>117</v>
      </c>
      <c r="L22">
        <v>0.69499999999999995</v>
      </c>
      <c r="M22">
        <v>0.63300000000000001</v>
      </c>
      <c r="N22">
        <v>8</v>
      </c>
      <c r="O22">
        <v>-4.9459999999999997</v>
      </c>
      <c r="P22">
        <v>1</v>
      </c>
      <c r="Q22">
        <v>5.9900000000000002E-2</v>
      </c>
      <c r="R22">
        <v>6.1199999999999997E-2</v>
      </c>
      <c r="S22">
        <v>1.95E-4</v>
      </c>
      <c r="T22">
        <v>9.2600000000000002E-2</v>
      </c>
      <c r="U22">
        <v>0.55700000000000005</v>
      </c>
      <c r="V22">
        <v>96.781999999999996</v>
      </c>
      <c r="W22">
        <v>4</v>
      </c>
      <c r="X22" t="str">
        <f t="shared" si="0"/>
        <v>Chill 🛋️</v>
      </c>
      <c r="Y22" t="str">
        <f>IF(SpotifyData2025[[#This Row],[Danceability]] &gt; 0.65, "Club Banger 🪩", "Head Nod 🎧")</f>
        <v>Club Banger 🪩</v>
      </c>
      <c r="AP22" s="3" t="s">
        <v>152</v>
      </c>
      <c r="AQ22" s="6">
        <v>0.41699999999999998</v>
      </c>
      <c r="AR22" s="6">
        <v>0.46400000000000002</v>
      </c>
      <c r="AW22" s="3" t="s">
        <v>196</v>
      </c>
      <c r="AX22" s="12">
        <v>0.90600000000000003</v>
      </c>
    </row>
    <row r="23" spans="1:50" x14ac:dyDescent="0.3">
      <c r="A23" t="s">
        <v>194</v>
      </c>
      <c r="B23" t="s">
        <v>195</v>
      </c>
      <c r="C23" t="s">
        <v>25</v>
      </c>
      <c r="D23" t="s">
        <v>196</v>
      </c>
      <c r="E23" s="1">
        <v>45723</v>
      </c>
      <c r="F23">
        <v>223398</v>
      </c>
      <c r="G23">
        <v>82</v>
      </c>
      <c r="H23" t="b">
        <v>0</v>
      </c>
      <c r="I23" t="s">
        <v>27</v>
      </c>
      <c r="J23" t="s">
        <v>28</v>
      </c>
      <c r="K23" t="s">
        <v>29</v>
      </c>
      <c r="L23">
        <v>0.67900000000000005</v>
      </c>
      <c r="M23">
        <v>0.90600000000000003</v>
      </c>
      <c r="N23">
        <v>10</v>
      </c>
      <c r="O23">
        <v>-3.4430000000000001</v>
      </c>
      <c r="P23">
        <v>0</v>
      </c>
      <c r="Q23">
        <v>6.3200000000000006E-2</v>
      </c>
      <c r="R23">
        <v>1.1900000000000001E-2</v>
      </c>
      <c r="S23">
        <v>0</v>
      </c>
      <c r="T23">
        <v>0.22900000000000001</v>
      </c>
      <c r="U23">
        <v>0.65200000000000002</v>
      </c>
      <c r="V23">
        <v>126.01</v>
      </c>
      <c r="W23">
        <v>4</v>
      </c>
      <c r="X23" t="str">
        <f t="shared" si="0"/>
        <v>Fast 🏃‍♂️</v>
      </c>
      <c r="Y23" t="str">
        <f>IF(SpotifyData2025[[#This Row],[Danceability]] &gt; 0.65, "Club Banger 🪩", "Head Nod 🎧")</f>
        <v>Club Banger 🪩</v>
      </c>
      <c r="AP23" s="3" t="s">
        <v>105</v>
      </c>
      <c r="AQ23" s="6">
        <v>0.71499999999999997</v>
      </c>
      <c r="AR23" s="6">
        <v>0.315</v>
      </c>
      <c r="AW23" s="3" t="s">
        <v>90</v>
      </c>
      <c r="AX23" s="12">
        <v>1.6830000000000001</v>
      </c>
    </row>
    <row r="24" spans="1:50" x14ac:dyDescent="0.3">
      <c r="A24" t="s">
        <v>218</v>
      </c>
      <c r="B24" t="s">
        <v>219</v>
      </c>
      <c r="C24" t="s">
        <v>89</v>
      </c>
      <c r="D24" t="s">
        <v>90</v>
      </c>
      <c r="E24" s="1">
        <v>45527</v>
      </c>
      <c r="F24">
        <v>157279</v>
      </c>
      <c r="G24">
        <v>86</v>
      </c>
      <c r="H24" t="b">
        <v>0</v>
      </c>
      <c r="I24" t="s">
        <v>27</v>
      </c>
      <c r="J24" t="s">
        <v>91</v>
      </c>
      <c r="K24" t="s">
        <v>92</v>
      </c>
      <c r="L24">
        <v>0.67400000000000004</v>
      </c>
      <c r="M24">
        <v>0.90700000000000003</v>
      </c>
      <c r="N24">
        <v>3</v>
      </c>
      <c r="O24">
        <v>-4.0860000000000003</v>
      </c>
      <c r="P24">
        <v>1</v>
      </c>
      <c r="Q24">
        <v>6.4000000000000001E-2</v>
      </c>
      <c r="R24">
        <v>0.10100000000000001</v>
      </c>
      <c r="S24">
        <v>0</v>
      </c>
      <c r="T24">
        <v>0.29699999999999999</v>
      </c>
      <c r="U24">
        <v>0.72099999999999997</v>
      </c>
      <c r="V24">
        <v>112.964</v>
      </c>
      <c r="W24">
        <v>4</v>
      </c>
      <c r="X24" t="str">
        <f t="shared" si="0"/>
        <v>Chill 🛋️</v>
      </c>
      <c r="Y24" t="str">
        <f>IF(SpotifyData2025[[#This Row],[Danceability]] &gt; 0.65, "Club Banger 🪩", "Head Nod 🎧")</f>
        <v>Club Banger 🪩</v>
      </c>
      <c r="AP24" s="3" t="s">
        <v>109</v>
      </c>
      <c r="AQ24" s="6">
        <v>0.64300000000000002</v>
      </c>
      <c r="AR24" s="6">
        <v>0.89400000000000002</v>
      </c>
      <c r="AW24" s="3" t="s">
        <v>55</v>
      </c>
      <c r="AX24" s="12">
        <v>1.6099999999999999</v>
      </c>
    </row>
    <row r="25" spans="1:50" x14ac:dyDescent="0.3">
      <c r="A25" t="s">
        <v>141</v>
      </c>
      <c r="B25" t="s">
        <v>142</v>
      </c>
      <c r="C25" t="s">
        <v>143</v>
      </c>
      <c r="D25" t="s">
        <v>144</v>
      </c>
      <c r="E25" s="1">
        <v>45492</v>
      </c>
      <c r="F25">
        <v>170887</v>
      </c>
      <c r="G25">
        <v>85</v>
      </c>
      <c r="H25" t="b">
        <v>0</v>
      </c>
      <c r="I25" t="s">
        <v>34</v>
      </c>
      <c r="J25" t="s">
        <v>40</v>
      </c>
      <c r="K25" t="s">
        <v>145</v>
      </c>
      <c r="L25">
        <v>0.66</v>
      </c>
      <c r="M25">
        <v>0.75600000000000001</v>
      </c>
      <c r="N25">
        <v>0</v>
      </c>
      <c r="O25">
        <v>-3.7429999999999999</v>
      </c>
      <c r="P25">
        <v>0</v>
      </c>
      <c r="Q25">
        <v>3.2000000000000001E-2</v>
      </c>
      <c r="R25">
        <v>2.8900000000000002E-3</v>
      </c>
      <c r="S25">
        <v>0</v>
      </c>
      <c r="T25">
        <v>0.193</v>
      </c>
      <c r="U25">
        <v>0.83799999999999997</v>
      </c>
      <c r="V25">
        <v>116.03400000000001</v>
      </c>
      <c r="W25">
        <v>4</v>
      </c>
      <c r="X25" t="str">
        <f t="shared" si="0"/>
        <v>Chill 🛋️</v>
      </c>
      <c r="Y25" t="str">
        <f>IF(SpotifyData2025[[#This Row],[Danceability]] &gt; 0.65, "Club Banger 🪩", "Head Nod 🎧")</f>
        <v>Club Banger 🪩</v>
      </c>
      <c r="AP25" s="3" t="s">
        <v>214</v>
      </c>
      <c r="AQ25" s="6">
        <v>0.74299999999999999</v>
      </c>
      <c r="AR25" s="6">
        <v>0.81100000000000005</v>
      </c>
      <c r="AW25" s="3" t="s">
        <v>203</v>
      </c>
      <c r="AX25" s="12">
        <v>0.81499999999999995</v>
      </c>
    </row>
    <row r="26" spans="1:50" x14ac:dyDescent="0.3">
      <c r="A26" t="s">
        <v>57</v>
      </c>
      <c r="B26" t="s">
        <v>58</v>
      </c>
      <c r="C26" t="s">
        <v>59</v>
      </c>
      <c r="D26" t="s">
        <v>60</v>
      </c>
      <c r="E26" s="1">
        <v>45828</v>
      </c>
      <c r="F26">
        <v>194607</v>
      </c>
      <c r="G26">
        <v>95</v>
      </c>
      <c r="H26" t="b">
        <v>0</v>
      </c>
      <c r="I26" t="s">
        <v>27</v>
      </c>
      <c r="J26" t="s">
        <v>40</v>
      </c>
      <c r="K26" t="s">
        <v>61</v>
      </c>
      <c r="L26">
        <v>0.65100000000000002</v>
      </c>
      <c r="M26">
        <v>0.68600000000000005</v>
      </c>
      <c r="N26">
        <v>4</v>
      </c>
      <c r="O26">
        <v>-4.3710000000000004</v>
      </c>
      <c r="P26">
        <v>0</v>
      </c>
      <c r="Q26">
        <v>6.1600000000000002E-2</v>
      </c>
      <c r="R26">
        <v>9.6600000000000005E-2</v>
      </c>
      <c r="S26">
        <v>0</v>
      </c>
      <c r="T26">
        <v>0.185</v>
      </c>
      <c r="U26">
        <v>0.104</v>
      </c>
      <c r="V26">
        <v>122.715</v>
      </c>
      <c r="W26">
        <v>3</v>
      </c>
      <c r="X26" t="str">
        <f t="shared" si="0"/>
        <v>Fast 🏃‍♂️</v>
      </c>
      <c r="Y26" t="str">
        <f>IF(SpotifyData2025[[#This Row],[Danceability]] &gt; 0.65, "Club Banger 🪩", "Head Nod 🎧")</f>
        <v>Club Banger 🪩</v>
      </c>
      <c r="AP26" s="3" t="s">
        <v>129</v>
      </c>
      <c r="AQ26" s="6">
        <v>0.60399999999999998</v>
      </c>
      <c r="AR26" s="6">
        <v>0.56100000000000005</v>
      </c>
      <c r="AW26" s="3" t="s">
        <v>149</v>
      </c>
      <c r="AX26" s="12">
        <v>0.80700000000000005</v>
      </c>
    </row>
    <row r="27" spans="1:50" x14ac:dyDescent="0.3">
      <c r="A27" t="s">
        <v>246</v>
      </c>
      <c r="B27" t="s">
        <v>247</v>
      </c>
      <c r="C27" t="s">
        <v>248</v>
      </c>
      <c r="D27" t="s">
        <v>249</v>
      </c>
      <c r="E27" s="1">
        <v>45359</v>
      </c>
      <c r="F27">
        <v>228639</v>
      </c>
      <c r="G27">
        <v>86</v>
      </c>
      <c r="H27" t="b">
        <v>0</v>
      </c>
      <c r="I27" t="s">
        <v>34</v>
      </c>
      <c r="J27" t="s">
        <v>91</v>
      </c>
      <c r="K27" t="s">
        <v>250</v>
      </c>
      <c r="L27">
        <v>0.64500000000000002</v>
      </c>
      <c r="M27">
        <v>0.64600000000000002</v>
      </c>
      <c r="N27">
        <v>5</v>
      </c>
      <c r="O27">
        <v>-8.3339999999999996</v>
      </c>
      <c r="P27">
        <v>1</v>
      </c>
      <c r="Q27">
        <v>4.2700000000000002E-2</v>
      </c>
      <c r="R27">
        <v>6.1499999999999999E-2</v>
      </c>
      <c r="S27">
        <v>3.04E-5</v>
      </c>
      <c r="T27">
        <v>7.3999999999999996E-2</v>
      </c>
      <c r="U27">
        <v>0.29499999999999998</v>
      </c>
      <c r="V27">
        <v>115.842</v>
      </c>
      <c r="W27">
        <v>4</v>
      </c>
      <c r="X27" t="str">
        <f t="shared" si="0"/>
        <v>Chill 🛋️</v>
      </c>
      <c r="Y27" t="str">
        <f>IF(SpotifyData2025[[#This Row],[Danceability]] &gt; 0.65, "Club Banger 🪩", "Head Nod 🎧")</f>
        <v>Head Nod 🎧</v>
      </c>
      <c r="AP27" s="3" t="s">
        <v>159</v>
      </c>
      <c r="AQ27" s="6">
        <v>0.73099999999999998</v>
      </c>
      <c r="AR27" s="6">
        <v>0.77900000000000003</v>
      </c>
      <c r="AW27" s="3" t="s">
        <v>252</v>
      </c>
      <c r="AX27" s="12">
        <v>11.447319999999999</v>
      </c>
    </row>
    <row r="28" spans="1:50" x14ac:dyDescent="0.3">
      <c r="A28" t="s">
        <v>186</v>
      </c>
      <c r="B28" t="s">
        <v>187</v>
      </c>
      <c r="C28" t="s">
        <v>54</v>
      </c>
      <c r="D28" t="s">
        <v>55</v>
      </c>
      <c r="E28" s="1">
        <v>45891</v>
      </c>
      <c r="F28">
        <v>182088</v>
      </c>
      <c r="G28">
        <v>88</v>
      </c>
      <c r="H28" t="b">
        <v>0</v>
      </c>
      <c r="I28" t="s">
        <v>27</v>
      </c>
      <c r="K28" t="s">
        <v>56</v>
      </c>
      <c r="L28">
        <v>0.64200000000000002</v>
      </c>
      <c r="M28">
        <v>0.88700000000000001</v>
      </c>
      <c r="N28">
        <v>0</v>
      </c>
      <c r="O28">
        <v>-3.883</v>
      </c>
      <c r="P28">
        <v>1</v>
      </c>
      <c r="Q28">
        <v>4.0599999999999997E-2</v>
      </c>
      <c r="R28">
        <v>0.13700000000000001</v>
      </c>
      <c r="S28">
        <v>0</v>
      </c>
      <c r="T28">
        <v>8.2900000000000001E-2</v>
      </c>
      <c r="U28">
        <v>0.88800000000000001</v>
      </c>
      <c r="V28">
        <v>115.999</v>
      </c>
      <c r="W28">
        <v>4</v>
      </c>
      <c r="X28" t="str">
        <f t="shared" si="0"/>
        <v>Chill 🛋️</v>
      </c>
      <c r="Y28" t="str">
        <f>IF(SpotifyData2025[[#This Row],[Danceability]] &gt; 0.65, "Club Banger 🪩", "Head Nod 🎧")</f>
        <v>Head Nod 🎧</v>
      </c>
      <c r="AP28" s="3" t="s">
        <v>63</v>
      </c>
      <c r="AQ28" s="6">
        <v>0.57499999999999996</v>
      </c>
      <c r="AR28" s="6">
        <v>0.70699999999999996</v>
      </c>
    </row>
    <row r="29" spans="1:50" x14ac:dyDescent="0.3">
      <c r="A29" t="s">
        <v>46</v>
      </c>
      <c r="B29" t="s">
        <v>47</v>
      </c>
      <c r="C29" t="s">
        <v>48</v>
      </c>
      <c r="D29" t="s">
        <v>49</v>
      </c>
      <c r="E29" s="1">
        <v>45662</v>
      </c>
      <c r="F29">
        <v>237117</v>
      </c>
      <c r="G29">
        <v>100</v>
      </c>
      <c r="H29" t="b">
        <v>1</v>
      </c>
      <c r="I29" t="s">
        <v>27</v>
      </c>
      <c r="J29" t="s">
        <v>50</v>
      </c>
      <c r="K29" t="s">
        <v>51</v>
      </c>
      <c r="L29">
        <v>0.625</v>
      </c>
      <c r="M29">
        <v>0.13100000000000001</v>
      </c>
      <c r="N29">
        <v>7</v>
      </c>
      <c r="O29">
        <v>-27.405000000000001</v>
      </c>
      <c r="P29">
        <v>0</v>
      </c>
      <c r="Q29">
        <v>7.17E-2</v>
      </c>
      <c r="R29">
        <v>0.17699999999999999</v>
      </c>
      <c r="S29">
        <v>0.218</v>
      </c>
      <c r="T29">
        <v>8.0699999999999994E-2</v>
      </c>
      <c r="U29">
        <v>3.2000000000000001E-2</v>
      </c>
      <c r="V29">
        <v>136.02000000000001</v>
      </c>
      <c r="W29">
        <v>4</v>
      </c>
      <c r="X29" t="str">
        <f t="shared" si="0"/>
        <v>Fast 🏃‍♂️</v>
      </c>
      <c r="Y29" t="str">
        <f>IF(SpotifyData2025[[#This Row],[Danceability]] &gt; 0.65, "Club Banger 🪩", "Head Nod 🎧")</f>
        <v>Head Nod 🎧</v>
      </c>
      <c r="AP29" s="3" t="s">
        <v>100</v>
      </c>
      <c r="AQ29" s="6">
        <v>0.56200000000000006</v>
      </c>
      <c r="AR29" s="6">
        <v>0.79800000000000004</v>
      </c>
    </row>
    <row r="30" spans="1:50" x14ac:dyDescent="0.3">
      <c r="A30" t="s">
        <v>197</v>
      </c>
      <c r="B30" t="s">
        <v>198</v>
      </c>
      <c r="C30" t="s">
        <v>48</v>
      </c>
      <c r="D30" t="s">
        <v>199</v>
      </c>
      <c r="E30" s="1">
        <v>45662</v>
      </c>
      <c r="F30">
        <v>235336</v>
      </c>
      <c r="G30">
        <v>91</v>
      </c>
      <c r="H30" t="b">
        <v>1</v>
      </c>
      <c r="I30" t="s">
        <v>27</v>
      </c>
      <c r="J30" t="s">
        <v>50</v>
      </c>
      <c r="K30" t="s">
        <v>51</v>
      </c>
      <c r="L30">
        <v>0.61299999999999999</v>
      </c>
      <c r="M30">
        <v>0.98099999999999998</v>
      </c>
      <c r="N30">
        <v>1</v>
      </c>
      <c r="O30">
        <v>-18.638000000000002</v>
      </c>
      <c r="P30">
        <v>1</v>
      </c>
      <c r="Q30">
        <v>0.14899999999999999</v>
      </c>
      <c r="R30">
        <v>0.28999999999999998</v>
      </c>
      <c r="S30">
        <v>2.3E-3</v>
      </c>
      <c r="T30">
        <v>0.437</v>
      </c>
      <c r="U30">
        <v>3.3700000000000001E-2</v>
      </c>
      <c r="V30">
        <v>101.852</v>
      </c>
      <c r="W30">
        <v>3</v>
      </c>
      <c r="X30" t="str">
        <f t="shared" si="0"/>
        <v>Chill 🛋️</v>
      </c>
      <c r="Y30" t="str">
        <f>IF(SpotifyData2025[[#This Row],[Danceability]] &gt; 0.65, "Club Banger 🪩", "Head Nod 🎧")</f>
        <v>Head Nod 🎧</v>
      </c>
      <c r="AP30" s="3" t="s">
        <v>189</v>
      </c>
      <c r="AQ30" s="6">
        <v>0.33900000000000002</v>
      </c>
      <c r="AR30" s="6">
        <v>0.70499999999999996</v>
      </c>
    </row>
    <row r="31" spans="1:50" x14ac:dyDescent="0.3">
      <c r="A31" t="s">
        <v>146</v>
      </c>
      <c r="B31" t="s">
        <v>147</v>
      </c>
      <c r="C31" t="s">
        <v>148</v>
      </c>
      <c r="D31" t="s">
        <v>149</v>
      </c>
      <c r="E31" s="1">
        <v>41386</v>
      </c>
      <c r="F31">
        <v>240400</v>
      </c>
      <c r="G31">
        <v>92</v>
      </c>
      <c r="H31" t="b">
        <v>0</v>
      </c>
      <c r="I31" t="s">
        <v>34</v>
      </c>
      <c r="K31" t="s">
        <v>150</v>
      </c>
      <c r="L31">
        <v>0.61199999999999999</v>
      </c>
      <c r="M31">
        <v>0.80700000000000005</v>
      </c>
      <c r="N31">
        <v>10</v>
      </c>
      <c r="O31">
        <v>-2.81</v>
      </c>
      <c r="P31">
        <v>1</v>
      </c>
      <c r="Q31">
        <v>3.3599999999999998E-2</v>
      </c>
      <c r="R31">
        <v>4.9500000000000002E-2</v>
      </c>
      <c r="S31">
        <v>1.77E-2</v>
      </c>
      <c r="T31">
        <v>0.10100000000000001</v>
      </c>
      <c r="U31">
        <v>0.39800000000000002</v>
      </c>
      <c r="V31">
        <v>124.053</v>
      </c>
      <c r="W31">
        <v>4</v>
      </c>
      <c r="X31" t="str">
        <f t="shared" si="0"/>
        <v>Fast 🏃‍♂️</v>
      </c>
      <c r="Y31" t="str">
        <f>IF(SpotifyData2025[[#This Row],[Danceability]] &gt; 0.65, "Club Banger 🪩", "Head Nod 🎧")</f>
        <v>Head Nod 🎧</v>
      </c>
      <c r="AP31" s="3" t="s">
        <v>137</v>
      </c>
      <c r="AQ31" s="6">
        <v>0.47199999999999998</v>
      </c>
      <c r="AR31" s="6">
        <v>0.89800000000000002</v>
      </c>
    </row>
    <row r="32" spans="1:50" x14ac:dyDescent="0.3">
      <c r="A32" t="s">
        <v>183</v>
      </c>
      <c r="B32" t="s">
        <v>184</v>
      </c>
      <c r="C32" t="s">
        <v>185</v>
      </c>
      <c r="D32" t="s">
        <v>134</v>
      </c>
      <c r="E32" s="1">
        <v>45190</v>
      </c>
      <c r="F32">
        <v>258034</v>
      </c>
      <c r="G32">
        <v>83</v>
      </c>
      <c r="H32" t="b">
        <v>0</v>
      </c>
      <c r="I32" t="s">
        <v>27</v>
      </c>
      <c r="K32" t="s">
        <v>135</v>
      </c>
      <c r="L32">
        <v>0.61</v>
      </c>
      <c r="M32">
        <v>0.65</v>
      </c>
      <c r="N32">
        <v>6</v>
      </c>
      <c r="O32">
        <v>-6.1989999999999998</v>
      </c>
      <c r="P32">
        <v>1</v>
      </c>
      <c r="Q32">
        <v>4.7399999999999998E-2</v>
      </c>
      <c r="R32">
        <v>0.39900000000000002</v>
      </c>
      <c r="S32">
        <v>0</v>
      </c>
      <c r="T32">
        <v>0.11</v>
      </c>
      <c r="U32">
        <v>0.50700000000000001</v>
      </c>
      <c r="V32">
        <v>106.71899999999999</v>
      </c>
      <c r="W32">
        <v>4</v>
      </c>
      <c r="X32" t="str">
        <f t="shared" si="0"/>
        <v>Chill 🛋️</v>
      </c>
      <c r="Y32" t="str">
        <f>IF(SpotifyData2025[[#This Row],[Danceability]] &gt; 0.65, "Club Banger 🪩", "Head Nod 🎧")</f>
        <v>Head Nod 🎧</v>
      </c>
      <c r="AP32" s="3" t="s">
        <v>127</v>
      </c>
      <c r="AQ32" s="6">
        <v>0.19500000000000001</v>
      </c>
      <c r="AR32" s="6">
        <v>0.14199999999999999</v>
      </c>
    </row>
    <row r="33" spans="1:44" x14ac:dyDescent="0.3">
      <c r="A33" t="s">
        <v>128</v>
      </c>
      <c r="B33" t="s">
        <v>129</v>
      </c>
      <c r="C33" t="s">
        <v>130</v>
      </c>
      <c r="D33" t="s">
        <v>131</v>
      </c>
      <c r="E33" s="1">
        <v>45184</v>
      </c>
      <c r="F33">
        <v>210688</v>
      </c>
      <c r="G33">
        <v>89</v>
      </c>
      <c r="H33" t="b">
        <v>0</v>
      </c>
      <c r="I33" t="s">
        <v>34</v>
      </c>
      <c r="K33" t="s">
        <v>56</v>
      </c>
      <c r="L33">
        <v>0.56100000000000005</v>
      </c>
      <c r="M33">
        <v>0.60399999999999998</v>
      </c>
      <c r="N33">
        <v>9</v>
      </c>
      <c r="O33">
        <v>-4.4089999999999998</v>
      </c>
      <c r="P33">
        <v>1</v>
      </c>
      <c r="Q33">
        <v>3.3700000000000001E-2</v>
      </c>
      <c r="R33">
        <v>0.19900000000000001</v>
      </c>
      <c r="S33">
        <v>1.9000000000000001E-5</v>
      </c>
      <c r="T33">
        <v>0.104</v>
      </c>
      <c r="U33">
        <v>0.24199999999999999</v>
      </c>
      <c r="V33">
        <v>159.91999999999999</v>
      </c>
      <c r="W33">
        <v>3</v>
      </c>
      <c r="X33" t="str">
        <f t="shared" si="0"/>
        <v>Fast 🏃‍♂️</v>
      </c>
      <c r="Y33" t="str">
        <f>IF(SpotifyData2025[[#This Row],[Danceability]] &gt; 0.65, "Club Banger 🪩", "Head Nod 🎧")</f>
        <v>Head Nod 🎧</v>
      </c>
      <c r="AP33" s="3" t="s">
        <v>123</v>
      </c>
      <c r="AQ33" s="6">
        <v>0.64</v>
      </c>
      <c r="AR33" s="6">
        <v>0.26400000000000001</v>
      </c>
    </row>
    <row r="34" spans="1:44" x14ac:dyDescent="0.3">
      <c r="A34" t="s">
        <v>205</v>
      </c>
      <c r="B34" t="s">
        <v>206</v>
      </c>
      <c r="C34" t="s">
        <v>207</v>
      </c>
      <c r="D34" t="s">
        <v>208</v>
      </c>
      <c r="E34" s="1">
        <v>42937</v>
      </c>
      <c r="F34">
        <v>180386</v>
      </c>
      <c r="G34">
        <v>89</v>
      </c>
      <c r="H34" t="b">
        <v>1</v>
      </c>
      <c r="I34" t="s">
        <v>155</v>
      </c>
      <c r="K34" t="s">
        <v>150</v>
      </c>
      <c r="L34">
        <v>0.55800000000000005</v>
      </c>
      <c r="M34">
        <v>0.55900000000000005</v>
      </c>
      <c r="N34">
        <v>6</v>
      </c>
      <c r="O34">
        <v>-9.2219999999999995</v>
      </c>
      <c r="P34">
        <v>1</v>
      </c>
      <c r="Q34">
        <v>9.5899999999999999E-2</v>
      </c>
      <c r="R34">
        <v>0.371</v>
      </c>
      <c r="S34">
        <v>7.4900000000000003E-6</v>
      </c>
      <c r="T34">
        <v>0.109</v>
      </c>
      <c r="U34">
        <v>0.62</v>
      </c>
      <c r="V34">
        <v>78.558000000000007</v>
      </c>
      <c r="W34">
        <v>4</v>
      </c>
      <c r="X34" t="str">
        <f t="shared" si="0"/>
        <v>Chill 🛋️</v>
      </c>
      <c r="Y34" t="str">
        <f>IF(SpotifyData2025[[#This Row],[Danceability]] &gt; 0.65, "Club Banger 🪩", "Head Nod 🎧")</f>
        <v>Head Nod 🎧</v>
      </c>
      <c r="AP34" s="3" t="s">
        <v>43</v>
      </c>
      <c r="AQ34" s="6">
        <v>0.69399999999999995</v>
      </c>
      <c r="AR34" s="6">
        <v>0.36799999999999999</v>
      </c>
    </row>
    <row r="35" spans="1:44" x14ac:dyDescent="0.3">
      <c r="A35" t="s">
        <v>68</v>
      </c>
      <c r="B35" t="s">
        <v>69</v>
      </c>
      <c r="C35" t="s">
        <v>70</v>
      </c>
      <c r="D35" t="s">
        <v>71</v>
      </c>
      <c r="E35" s="1">
        <v>45583</v>
      </c>
      <c r="F35">
        <v>166300</v>
      </c>
      <c r="G35">
        <v>90</v>
      </c>
      <c r="H35" t="b">
        <v>1</v>
      </c>
      <c r="I35" t="s">
        <v>27</v>
      </c>
      <c r="K35" t="s">
        <v>72</v>
      </c>
      <c r="L35">
        <v>0.55400000000000005</v>
      </c>
      <c r="M35">
        <v>0.80800000000000005</v>
      </c>
      <c r="N35">
        <v>1</v>
      </c>
      <c r="O35">
        <v>-4.1689999999999996</v>
      </c>
      <c r="P35">
        <v>1</v>
      </c>
      <c r="Q35">
        <v>3.6799999999999999E-2</v>
      </c>
      <c r="R35">
        <v>0.214</v>
      </c>
      <c r="S35">
        <v>0</v>
      </c>
      <c r="T35">
        <v>0.159</v>
      </c>
      <c r="U35">
        <v>0.372</v>
      </c>
      <c r="V35">
        <v>108.548</v>
      </c>
      <c r="W35">
        <v>4</v>
      </c>
      <c r="X35" t="str">
        <f t="shared" si="0"/>
        <v>Chill 🛋️</v>
      </c>
      <c r="Y35" t="str">
        <f>IF(SpotifyData2025[[#This Row],[Danceability]] &gt; 0.65, "Club Banger 🪩", "Head Nod 🎧")</f>
        <v>Head Nod 🎧</v>
      </c>
      <c r="AP35" s="3" t="s">
        <v>184</v>
      </c>
      <c r="AQ35" s="6">
        <v>0.65</v>
      </c>
      <c r="AR35" s="6">
        <v>0.61</v>
      </c>
    </row>
    <row r="36" spans="1:44" x14ac:dyDescent="0.3">
      <c r="A36" t="s">
        <v>23</v>
      </c>
      <c r="B36" t="s">
        <v>24</v>
      </c>
      <c r="C36" t="s">
        <v>25</v>
      </c>
      <c r="D36" t="s">
        <v>26</v>
      </c>
      <c r="E36" s="1">
        <v>45723</v>
      </c>
      <c r="F36">
        <v>251667</v>
      </c>
      <c r="G36">
        <v>88</v>
      </c>
      <c r="H36" t="b">
        <v>0</v>
      </c>
      <c r="I36" t="s">
        <v>27</v>
      </c>
      <c r="J36" t="s">
        <v>28</v>
      </c>
      <c r="K36" t="s">
        <v>29</v>
      </c>
      <c r="L36">
        <v>0.51900000000000002</v>
      </c>
      <c r="M36">
        <v>0.60099999999999998</v>
      </c>
      <c r="N36">
        <v>6</v>
      </c>
      <c r="O36">
        <v>-7.7270000000000003</v>
      </c>
      <c r="P36">
        <v>0</v>
      </c>
      <c r="Q36">
        <v>3.1699999999999999E-2</v>
      </c>
      <c r="R36">
        <v>0.28899999999999998</v>
      </c>
      <c r="S36">
        <v>0</v>
      </c>
      <c r="T36">
        <v>0.126</v>
      </c>
      <c r="U36">
        <v>0.498</v>
      </c>
      <c r="V36">
        <v>157.964</v>
      </c>
      <c r="W36">
        <v>3</v>
      </c>
      <c r="X36" t="str">
        <f t="shared" si="0"/>
        <v>Fast 🏃‍♂️</v>
      </c>
      <c r="Y36" t="str">
        <f>IF(SpotifyData2025[[#This Row],[Danceability]] &gt; 0.65, "Club Banger 🪩", "Head Nod 🎧")</f>
        <v>Head Nod 🎧</v>
      </c>
      <c r="AP36" s="3" t="s">
        <v>236</v>
      </c>
      <c r="AQ36" s="6">
        <v>0.56299999999999994</v>
      </c>
      <c r="AR36" s="6">
        <v>0.83299999999999996</v>
      </c>
    </row>
    <row r="37" spans="1:44" x14ac:dyDescent="0.3">
      <c r="A37" t="s">
        <v>224</v>
      </c>
      <c r="B37" t="s">
        <v>225</v>
      </c>
      <c r="C37" t="s">
        <v>226</v>
      </c>
      <c r="D37" t="s">
        <v>227</v>
      </c>
      <c r="E37" s="1">
        <v>34022</v>
      </c>
      <c r="F37">
        <v>238640</v>
      </c>
      <c r="G37">
        <v>92</v>
      </c>
      <c r="H37" t="b">
        <v>1</v>
      </c>
      <c r="I37" t="s">
        <v>27</v>
      </c>
      <c r="J37" t="s">
        <v>228</v>
      </c>
      <c r="K37" t="s">
        <v>229</v>
      </c>
      <c r="L37">
        <v>0.51500000000000001</v>
      </c>
      <c r="M37">
        <v>0.43</v>
      </c>
      <c r="N37">
        <v>7</v>
      </c>
      <c r="O37">
        <v>-9.9350000000000005</v>
      </c>
      <c r="P37">
        <v>1</v>
      </c>
      <c r="Q37">
        <v>3.7199999999999997E-2</v>
      </c>
      <c r="R37">
        <v>9.7000000000000003E-3</v>
      </c>
      <c r="S37">
        <v>1.3300000000000001E-4</v>
      </c>
      <c r="T37">
        <v>0.129</v>
      </c>
      <c r="U37">
        <v>0.104</v>
      </c>
      <c r="V37">
        <v>91.843999999999994</v>
      </c>
      <c r="W37">
        <v>4</v>
      </c>
      <c r="X37" t="str">
        <f t="shared" si="0"/>
        <v>Chill 🛋️</v>
      </c>
      <c r="Y37" t="str">
        <f>IF(SpotifyData2025[[#This Row],[Danceability]] &gt; 0.65, "Club Banger 🪩", "Head Nod 🎧")</f>
        <v>Head Nod 🎧</v>
      </c>
      <c r="AP37" s="3" t="s">
        <v>76</v>
      </c>
      <c r="AQ37" s="6">
        <v>0.39200000000000002</v>
      </c>
      <c r="AR37" s="6">
        <v>0.499</v>
      </c>
    </row>
    <row r="38" spans="1:44" x14ac:dyDescent="0.3">
      <c r="A38" t="s">
        <v>75</v>
      </c>
      <c r="B38" t="s">
        <v>76</v>
      </c>
      <c r="C38" t="s">
        <v>77</v>
      </c>
      <c r="D38" t="s">
        <v>78</v>
      </c>
      <c r="E38" s="1">
        <v>45772</v>
      </c>
      <c r="F38">
        <v>211978</v>
      </c>
      <c r="G38">
        <v>88</v>
      </c>
      <c r="H38" t="b">
        <v>0</v>
      </c>
      <c r="I38" t="s">
        <v>27</v>
      </c>
      <c r="K38" t="s">
        <v>79</v>
      </c>
      <c r="L38">
        <v>0.499</v>
      </c>
      <c r="M38">
        <v>0.39200000000000002</v>
      </c>
      <c r="N38">
        <v>11</v>
      </c>
      <c r="O38">
        <v>-10.441000000000001</v>
      </c>
      <c r="P38">
        <v>1</v>
      </c>
      <c r="Q38">
        <v>2.6200000000000001E-2</v>
      </c>
      <c r="R38">
        <v>0.627</v>
      </c>
      <c r="S38">
        <v>7.1000000000000005E-5</v>
      </c>
      <c r="T38">
        <v>0.192</v>
      </c>
      <c r="U38">
        <v>0.27200000000000002</v>
      </c>
      <c r="V38">
        <v>95.075999999999993</v>
      </c>
      <c r="W38">
        <v>4</v>
      </c>
      <c r="X38" t="str">
        <f t="shared" si="0"/>
        <v>Chill 🛋️</v>
      </c>
      <c r="Y38" t="str">
        <f>IF(SpotifyData2025[[#This Row],[Danceability]] &gt; 0.65, "Club Banger 🪩", "Head Nod 🎧")</f>
        <v>Head Nod 🎧</v>
      </c>
      <c r="AP38" s="3" t="s">
        <v>206</v>
      </c>
      <c r="AQ38" s="6">
        <v>0.55900000000000005</v>
      </c>
      <c r="AR38" s="6">
        <v>0.55800000000000005</v>
      </c>
    </row>
    <row r="39" spans="1:44" x14ac:dyDescent="0.3">
      <c r="A39" t="s">
        <v>82</v>
      </c>
      <c r="B39" t="s">
        <v>83</v>
      </c>
      <c r="C39" t="s">
        <v>84</v>
      </c>
      <c r="D39" t="s">
        <v>85</v>
      </c>
      <c r="E39" s="1">
        <v>45387</v>
      </c>
      <c r="F39">
        <v>180304</v>
      </c>
      <c r="G39">
        <v>88</v>
      </c>
      <c r="H39" t="b">
        <v>0</v>
      </c>
      <c r="I39" t="s">
        <v>34</v>
      </c>
      <c r="K39" t="s">
        <v>86</v>
      </c>
      <c r="L39">
        <v>0.47199999999999998</v>
      </c>
      <c r="M39">
        <v>0.47099999999999997</v>
      </c>
      <c r="N39">
        <v>10</v>
      </c>
      <c r="O39">
        <v>-5.6920000000000002</v>
      </c>
      <c r="P39">
        <v>1</v>
      </c>
      <c r="Q39">
        <v>6.0299999999999999E-2</v>
      </c>
      <c r="R39">
        <v>0.151</v>
      </c>
      <c r="S39">
        <v>0</v>
      </c>
      <c r="T39">
        <v>0.14000000000000001</v>
      </c>
      <c r="U39">
        <v>0.219</v>
      </c>
      <c r="V39">
        <v>105.029</v>
      </c>
      <c r="W39">
        <v>3</v>
      </c>
      <c r="X39" t="str">
        <f t="shared" si="0"/>
        <v>Chill 🛋️</v>
      </c>
      <c r="Y39" t="str">
        <f>IF(SpotifyData2025[[#This Row],[Danceability]] &gt; 0.65, "Club Banger 🪩", "Head Nod 🎧")</f>
        <v>Head Nod 🎧</v>
      </c>
      <c r="AP39" s="3" t="s">
        <v>178</v>
      </c>
      <c r="AQ39" s="6">
        <v>0.625</v>
      </c>
      <c r="AR39" s="6">
        <v>0.91600000000000004</v>
      </c>
    </row>
    <row r="40" spans="1:44" x14ac:dyDescent="0.3">
      <c r="A40" t="s">
        <v>73</v>
      </c>
      <c r="B40" t="s">
        <v>74</v>
      </c>
      <c r="C40" t="s">
        <v>32</v>
      </c>
      <c r="D40" t="s">
        <v>33</v>
      </c>
      <c r="E40" s="1">
        <v>45429</v>
      </c>
      <c r="F40">
        <v>261466</v>
      </c>
      <c r="G40">
        <v>92</v>
      </c>
      <c r="H40" t="b">
        <v>0</v>
      </c>
      <c r="I40" t="s">
        <v>27</v>
      </c>
      <c r="K40" t="s">
        <v>35</v>
      </c>
      <c r="L40">
        <v>0.46700000000000003</v>
      </c>
      <c r="M40">
        <v>0.247</v>
      </c>
      <c r="N40">
        <v>6</v>
      </c>
      <c r="O40">
        <v>-12.002000000000001</v>
      </c>
      <c r="P40">
        <v>0</v>
      </c>
      <c r="Q40">
        <v>4.3099999999999999E-2</v>
      </c>
      <c r="R40">
        <v>0.61199999999999999</v>
      </c>
      <c r="S40">
        <v>2.7099999999999997E-4</v>
      </c>
      <c r="T40">
        <v>0.17</v>
      </c>
      <c r="U40">
        <v>0.126</v>
      </c>
      <c r="V40">
        <v>148.101</v>
      </c>
      <c r="W40">
        <v>4</v>
      </c>
      <c r="X40" t="str">
        <f t="shared" si="0"/>
        <v>Fast 🏃‍♂️</v>
      </c>
      <c r="Y40" t="str">
        <f>IF(SpotifyData2025[[#This Row],[Danceability]] &gt; 0.65, "Club Banger 🪩", "Head Nod 🎧")</f>
        <v>Head Nod 🎧</v>
      </c>
      <c r="AP40" s="3" t="s">
        <v>201</v>
      </c>
      <c r="AQ40" s="6">
        <v>0.81499999999999995</v>
      </c>
      <c r="AR40" s="6">
        <v>0.86099999999999999</v>
      </c>
    </row>
    <row r="41" spans="1:44" x14ac:dyDescent="0.3">
      <c r="A41" t="s">
        <v>151</v>
      </c>
      <c r="B41" t="s">
        <v>152</v>
      </c>
      <c r="C41" t="s">
        <v>153</v>
      </c>
      <c r="D41" t="s">
        <v>154</v>
      </c>
      <c r="E41" s="1">
        <v>41526</v>
      </c>
      <c r="F41">
        <v>183956</v>
      </c>
      <c r="G41">
        <v>92</v>
      </c>
      <c r="H41" t="b">
        <v>0</v>
      </c>
      <c r="I41" t="s">
        <v>155</v>
      </c>
      <c r="J41" t="s">
        <v>156</v>
      </c>
      <c r="K41" t="s">
        <v>157</v>
      </c>
      <c r="L41">
        <v>0.46400000000000002</v>
      </c>
      <c r="M41">
        <v>0.41699999999999998</v>
      </c>
      <c r="N41">
        <v>0</v>
      </c>
      <c r="O41">
        <v>-9.3450000000000006</v>
      </c>
      <c r="P41">
        <v>0</v>
      </c>
      <c r="Q41">
        <v>2.5600000000000001E-2</v>
      </c>
      <c r="R41">
        <v>0.13600000000000001</v>
      </c>
      <c r="S41">
        <v>2.1999999999999999E-2</v>
      </c>
      <c r="T41">
        <v>9.74E-2</v>
      </c>
      <c r="U41">
        <v>0.47899999999999998</v>
      </c>
      <c r="V41">
        <v>67.528000000000006</v>
      </c>
      <c r="W41">
        <v>4</v>
      </c>
      <c r="X41" t="str">
        <f t="shared" si="0"/>
        <v>Chill 🛋️</v>
      </c>
      <c r="Y41" t="str">
        <f>IF(SpotifyData2025[[#This Row],[Danceability]] &gt; 0.65, "Club Banger 🪩", "Head Nod 🎧")</f>
        <v>Head Nod 🎧</v>
      </c>
      <c r="AP41" s="3" t="s">
        <v>147</v>
      </c>
      <c r="AQ41" s="6">
        <v>0.80700000000000005</v>
      </c>
      <c r="AR41" s="6">
        <v>0.61199999999999999</v>
      </c>
    </row>
    <row r="42" spans="1:44" x14ac:dyDescent="0.3">
      <c r="A42" t="s">
        <v>118</v>
      </c>
      <c r="B42" t="s">
        <v>119</v>
      </c>
      <c r="C42" t="s">
        <v>120</v>
      </c>
      <c r="D42" t="s">
        <v>121</v>
      </c>
      <c r="E42" s="1">
        <v>42101</v>
      </c>
      <c r="F42">
        <v>208226</v>
      </c>
      <c r="G42">
        <v>89</v>
      </c>
      <c r="H42" t="b">
        <v>0</v>
      </c>
      <c r="I42" t="s">
        <v>34</v>
      </c>
      <c r="K42" t="s">
        <v>121</v>
      </c>
      <c r="L42">
        <v>0.44</v>
      </c>
      <c r="M42">
        <v>0.378</v>
      </c>
      <c r="N42">
        <v>2</v>
      </c>
      <c r="O42">
        <v>-9.5449999999999999</v>
      </c>
      <c r="P42">
        <v>1</v>
      </c>
      <c r="Q42">
        <v>4.4999999999999998E-2</v>
      </c>
      <c r="R42">
        <v>0.96799999999999997</v>
      </c>
      <c r="S42">
        <v>0.27200000000000002</v>
      </c>
      <c r="T42">
        <v>0.63900000000000001</v>
      </c>
      <c r="U42">
        <v>0.105</v>
      </c>
      <c r="V42">
        <v>174.12100000000001</v>
      </c>
      <c r="W42">
        <v>3</v>
      </c>
      <c r="X42" t="str">
        <f t="shared" si="0"/>
        <v>Fast 🏃‍♂️</v>
      </c>
      <c r="Y42" t="str">
        <f>IF(SpotifyData2025[[#This Row],[Danceability]] &gt; 0.65, "Club Banger 🪩", "Head Nod 🎧")</f>
        <v>Head Nod 🎧</v>
      </c>
      <c r="AP42" s="3" t="s">
        <v>219</v>
      </c>
      <c r="AQ42" s="6">
        <v>0.90700000000000003</v>
      </c>
      <c r="AR42" s="6">
        <v>0.67400000000000004</v>
      </c>
    </row>
    <row r="43" spans="1:44" x14ac:dyDescent="0.3">
      <c r="A43" t="s">
        <v>52</v>
      </c>
      <c r="B43" t="s">
        <v>53</v>
      </c>
      <c r="C43" t="s">
        <v>54</v>
      </c>
      <c r="D43" t="s">
        <v>55</v>
      </c>
      <c r="E43" s="1">
        <v>45891</v>
      </c>
      <c r="F43">
        <v>199032</v>
      </c>
      <c r="G43">
        <v>92</v>
      </c>
      <c r="H43" t="b">
        <v>0</v>
      </c>
      <c r="I43" t="s">
        <v>27</v>
      </c>
      <c r="K43" t="s">
        <v>56</v>
      </c>
      <c r="L43">
        <v>0.436</v>
      </c>
      <c r="M43">
        <v>0.72299999999999998</v>
      </c>
      <c r="N43">
        <v>1</v>
      </c>
      <c r="O43">
        <v>-2.2909999999999999</v>
      </c>
      <c r="P43">
        <v>1</v>
      </c>
      <c r="Q43">
        <v>3.0099999999999998E-2</v>
      </c>
      <c r="R43">
        <v>9.3700000000000001E-5</v>
      </c>
      <c r="S43">
        <v>8.8200000000000003E-5</v>
      </c>
      <c r="T43">
        <v>9.2899999999999996E-2</v>
      </c>
      <c r="U43">
        <v>0.23499999999999999</v>
      </c>
      <c r="V43">
        <v>92.855000000000004</v>
      </c>
      <c r="W43">
        <v>4</v>
      </c>
      <c r="X43" t="str">
        <f t="shared" si="0"/>
        <v>Chill 🛋️</v>
      </c>
      <c r="Y43" t="str">
        <f>IF(SpotifyData2025[[#This Row],[Danceability]] &gt; 0.65, "Club Banger 🪩", "Head Nod 🎧")</f>
        <v>Head Nod 🎧</v>
      </c>
      <c r="AP43" s="3" t="s">
        <v>69</v>
      </c>
      <c r="AQ43" s="6">
        <v>0.80800000000000005</v>
      </c>
      <c r="AR43" s="6">
        <v>0.55400000000000005</v>
      </c>
    </row>
    <row r="44" spans="1:44" x14ac:dyDescent="0.3">
      <c r="A44" t="s">
        <v>165</v>
      </c>
      <c r="B44" t="s">
        <v>166</v>
      </c>
      <c r="C44" t="s">
        <v>167</v>
      </c>
      <c r="D44" t="s">
        <v>168</v>
      </c>
      <c r="E44" s="1">
        <v>36717</v>
      </c>
      <c r="F44">
        <v>266773</v>
      </c>
      <c r="G44">
        <v>91</v>
      </c>
      <c r="H44" t="b">
        <v>0</v>
      </c>
      <c r="I44" t="s">
        <v>34</v>
      </c>
      <c r="K44" t="s">
        <v>169</v>
      </c>
      <c r="L44">
        <v>0.42899999999999999</v>
      </c>
      <c r="M44">
        <v>0.66100000000000003</v>
      </c>
      <c r="N44">
        <v>11</v>
      </c>
      <c r="O44">
        <v>-7.2270000000000003</v>
      </c>
      <c r="P44">
        <v>1</v>
      </c>
      <c r="Q44">
        <v>2.81E-2</v>
      </c>
      <c r="R44">
        <v>2.3900000000000002E-3</v>
      </c>
      <c r="S44">
        <v>1.21E-4</v>
      </c>
      <c r="T44">
        <v>0.23400000000000001</v>
      </c>
      <c r="U44">
        <v>0.28499999999999998</v>
      </c>
      <c r="V44">
        <v>173.37200000000001</v>
      </c>
      <c r="W44">
        <v>4</v>
      </c>
      <c r="X44" t="str">
        <f t="shared" si="0"/>
        <v>Fast 🏃‍♂️</v>
      </c>
      <c r="Y44" t="str">
        <f>IF(SpotifyData2025[[#This Row],[Danceability]] &gt; 0.65, "Club Banger 🪩", "Head Nod 🎧")</f>
        <v>Head Nod 🎧</v>
      </c>
      <c r="AP44" s="3" t="s">
        <v>119</v>
      </c>
      <c r="AQ44" s="6">
        <v>0.378</v>
      </c>
      <c r="AR44" s="6">
        <v>0.44</v>
      </c>
    </row>
    <row r="45" spans="1:44" x14ac:dyDescent="0.3">
      <c r="A45" t="s">
        <v>42</v>
      </c>
      <c r="B45" t="s">
        <v>43</v>
      </c>
      <c r="C45" t="s">
        <v>44</v>
      </c>
      <c r="D45" t="s">
        <v>45</v>
      </c>
      <c r="E45" s="1">
        <v>45561</v>
      </c>
      <c r="F45">
        <v>186964</v>
      </c>
      <c r="G45">
        <v>91</v>
      </c>
      <c r="H45" t="b">
        <v>0</v>
      </c>
      <c r="I45" t="s">
        <v>27</v>
      </c>
      <c r="K45" t="s">
        <v>41</v>
      </c>
      <c r="L45">
        <v>0.36799999999999999</v>
      </c>
      <c r="M45">
        <v>0.69399999999999995</v>
      </c>
      <c r="N45">
        <v>2</v>
      </c>
      <c r="O45">
        <v>-6.141</v>
      </c>
      <c r="P45">
        <v>1</v>
      </c>
      <c r="Q45">
        <v>0.06</v>
      </c>
      <c r="R45">
        <v>0.70399999999999996</v>
      </c>
      <c r="S45">
        <v>6.5899999999999996E-6</v>
      </c>
      <c r="T45">
        <v>5.5E-2</v>
      </c>
      <c r="U45">
        <v>0.39100000000000001</v>
      </c>
      <c r="V45">
        <v>168.11500000000001</v>
      </c>
      <c r="W45">
        <v>3</v>
      </c>
      <c r="X45" t="str">
        <f t="shared" si="0"/>
        <v>Fast 🏃‍♂️</v>
      </c>
      <c r="Y45" t="str">
        <f>IF(SpotifyData2025[[#This Row],[Danceability]] &gt; 0.65, "Club Banger 🪩", "Head Nod 🎧")</f>
        <v>Head Nod 🎧</v>
      </c>
      <c r="AP45" s="3" t="s">
        <v>94</v>
      </c>
      <c r="AQ45" s="6">
        <v>0.77500000000000002</v>
      </c>
      <c r="AR45" s="6">
        <v>0.76800000000000002</v>
      </c>
    </row>
    <row r="46" spans="1:44" x14ac:dyDescent="0.3">
      <c r="A46" t="s">
        <v>163</v>
      </c>
      <c r="B46" t="s">
        <v>164</v>
      </c>
      <c r="C46" t="s">
        <v>48</v>
      </c>
      <c r="D46" t="s">
        <v>49</v>
      </c>
      <c r="E46" s="1">
        <v>45662</v>
      </c>
      <c r="F46">
        <v>204768</v>
      </c>
      <c r="G46">
        <v>95</v>
      </c>
      <c r="H46" t="b">
        <v>1</v>
      </c>
      <c r="I46" t="s">
        <v>27</v>
      </c>
      <c r="J46" t="s">
        <v>50</v>
      </c>
      <c r="K46" t="s">
        <v>51</v>
      </c>
      <c r="L46">
        <v>0.36</v>
      </c>
      <c r="M46">
        <v>0.46400000000000002</v>
      </c>
      <c r="N46">
        <v>10</v>
      </c>
      <c r="O46">
        <v>-29.597999999999999</v>
      </c>
      <c r="P46">
        <v>0</v>
      </c>
      <c r="Q46">
        <v>7.0199999999999999E-2</v>
      </c>
      <c r="R46">
        <v>0.749</v>
      </c>
      <c r="S46">
        <v>0.85899999999999999</v>
      </c>
      <c r="T46">
        <v>8.2500000000000004E-2</v>
      </c>
      <c r="U46">
        <v>0.184</v>
      </c>
      <c r="V46">
        <v>63.661999999999999</v>
      </c>
      <c r="W46">
        <v>4</v>
      </c>
      <c r="X46" t="str">
        <f t="shared" si="0"/>
        <v>Chill 🛋️</v>
      </c>
      <c r="Y46" t="str">
        <f>IF(SpotifyData2025[[#This Row],[Danceability]] &gt; 0.65, "Club Banger 🪩", "Head Nod 🎧")</f>
        <v>Head Nod 🎧</v>
      </c>
      <c r="AP46" s="3" t="s">
        <v>221</v>
      </c>
      <c r="AQ46" s="6">
        <v>0.52900000000000003</v>
      </c>
      <c r="AR46" s="6">
        <v>0.85499999999999998</v>
      </c>
    </row>
    <row r="47" spans="1:44" x14ac:dyDescent="0.3">
      <c r="A47" t="s">
        <v>104</v>
      </c>
      <c r="B47" t="s">
        <v>105</v>
      </c>
      <c r="C47" t="s">
        <v>106</v>
      </c>
      <c r="D47" t="s">
        <v>107</v>
      </c>
      <c r="E47">
        <v>1998</v>
      </c>
      <c r="F47">
        <v>289533</v>
      </c>
      <c r="G47">
        <v>93</v>
      </c>
      <c r="H47" t="b">
        <v>0</v>
      </c>
      <c r="I47" t="s">
        <v>27</v>
      </c>
      <c r="K47" t="s">
        <v>56</v>
      </c>
      <c r="L47">
        <v>0.315</v>
      </c>
      <c r="M47">
        <v>0.71499999999999997</v>
      </c>
      <c r="N47">
        <v>11</v>
      </c>
      <c r="O47">
        <v>-8.0719999999999992</v>
      </c>
      <c r="P47">
        <v>0</v>
      </c>
      <c r="Q47">
        <v>3.6200000000000003E-2</v>
      </c>
      <c r="R47">
        <v>1.25E-3</v>
      </c>
      <c r="S47">
        <v>7.9699999999999999E-6</v>
      </c>
      <c r="T47">
        <v>9.4200000000000006E-2</v>
      </c>
      <c r="U47">
        <v>0.497</v>
      </c>
      <c r="V47">
        <v>155.92500000000001</v>
      </c>
      <c r="W47">
        <v>3</v>
      </c>
      <c r="X47" t="str">
        <f t="shared" si="0"/>
        <v>Fast 🏃‍♂️</v>
      </c>
      <c r="Y47" t="str">
        <f>IF(SpotifyData2025[[#This Row],[Danceability]] &gt; 0.65, "Club Banger 🪩", "Head Nod 🎧")</f>
        <v>Head Nod 🎧</v>
      </c>
      <c r="AP47" s="3" t="s">
        <v>187</v>
      </c>
      <c r="AQ47" s="6">
        <v>0.88700000000000001</v>
      </c>
      <c r="AR47" s="6">
        <v>0.64200000000000002</v>
      </c>
    </row>
    <row r="48" spans="1:44" x14ac:dyDescent="0.3">
      <c r="A48" t="s">
        <v>122</v>
      </c>
      <c r="B48" t="s">
        <v>123</v>
      </c>
      <c r="C48" t="s">
        <v>124</v>
      </c>
      <c r="D48" t="s">
        <v>125</v>
      </c>
      <c r="E48" s="1">
        <v>45100</v>
      </c>
      <c r="F48">
        <v>244684</v>
      </c>
      <c r="G48">
        <v>91</v>
      </c>
      <c r="H48" t="b">
        <v>0</v>
      </c>
      <c r="I48" t="s">
        <v>34</v>
      </c>
      <c r="J48" t="s">
        <v>40</v>
      </c>
      <c r="K48" t="s">
        <v>98</v>
      </c>
      <c r="L48">
        <v>0.26400000000000001</v>
      </c>
      <c r="M48">
        <v>0.64</v>
      </c>
      <c r="N48">
        <v>8</v>
      </c>
      <c r="O48">
        <v>-6.2210000000000001</v>
      </c>
      <c r="P48">
        <v>1</v>
      </c>
      <c r="Q48">
        <v>4.4200000000000003E-2</v>
      </c>
      <c r="R48">
        <v>3.9300000000000002E-2</v>
      </c>
      <c r="S48">
        <v>2.3099999999999999E-6</v>
      </c>
      <c r="T48">
        <v>0.151</v>
      </c>
      <c r="U48">
        <v>0.19</v>
      </c>
      <c r="V48">
        <v>84.828000000000003</v>
      </c>
      <c r="W48">
        <v>4</v>
      </c>
      <c r="X48" t="str">
        <f t="shared" si="0"/>
        <v>Chill 🛋️</v>
      </c>
      <c r="Y48" t="str">
        <f>IF(SpotifyData2025[[#This Row],[Danceability]] &gt; 0.65, "Club Banger 🪩", "Head Nod 🎧")</f>
        <v>Head Nod 🎧</v>
      </c>
      <c r="AP48" s="3" t="s">
        <v>198</v>
      </c>
      <c r="AQ48" s="6">
        <v>0.98099999999999998</v>
      </c>
      <c r="AR48" s="6">
        <v>0.61299999999999999</v>
      </c>
    </row>
    <row r="49" spans="1:44" x14ac:dyDescent="0.3">
      <c r="A49" t="s">
        <v>80</v>
      </c>
      <c r="B49" t="s">
        <v>81</v>
      </c>
      <c r="C49" t="s">
        <v>48</v>
      </c>
      <c r="D49" t="s">
        <v>49</v>
      </c>
      <c r="E49" s="1">
        <v>45662</v>
      </c>
      <c r="F49">
        <v>367725</v>
      </c>
      <c r="G49">
        <v>98</v>
      </c>
      <c r="H49" t="b">
        <v>1</v>
      </c>
      <c r="I49" t="s">
        <v>27</v>
      </c>
      <c r="J49" t="s">
        <v>50</v>
      </c>
      <c r="K49" t="s">
        <v>51</v>
      </c>
      <c r="L49">
        <v>0.16800000000000001</v>
      </c>
      <c r="M49">
        <v>3.32E-3</v>
      </c>
      <c r="N49">
        <v>10</v>
      </c>
      <c r="O49">
        <v>-46.113</v>
      </c>
      <c r="P49">
        <v>1</v>
      </c>
      <c r="Q49">
        <v>6.1499999999999999E-2</v>
      </c>
      <c r="R49">
        <v>0.192</v>
      </c>
      <c r="S49">
        <v>0.79</v>
      </c>
      <c r="T49">
        <v>0.112</v>
      </c>
      <c r="U49">
        <v>0.219</v>
      </c>
      <c r="V49">
        <v>119.387</v>
      </c>
      <c r="W49">
        <v>3</v>
      </c>
      <c r="X49" t="str">
        <f t="shared" si="0"/>
        <v>Chill 🛋️</v>
      </c>
      <c r="Y49" t="str">
        <f>IF(SpotifyData2025[[#This Row],[Danceability]] &gt; 0.65, "Club Banger 🪩", "Head Nod 🎧")</f>
        <v>Head Nod 🎧</v>
      </c>
      <c r="AP49" s="3" t="s">
        <v>176</v>
      </c>
      <c r="AQ49" s="6">
        <v>0.60399999999999998</v>
      </c>
      <c r="AR49" s="6">
        <v>0.14799999999999999</v>
      </c>
    </row>
    <row r="50" spans="1:44" x14ac:dyDescent="0.3">
      <c r="A50" t="s">
        <v>175</v>
      </c>
      <c r="B50" t="s">
        <v>176</v>
      </c>
      <c r="C50" t="s">
        <v>48</v>
      </c>
      <c r="D50" t="s">
        <v>49</v>
      </c>
      <c r="E50" s="1">
        <v>45662</v>
      </c>
      <c r="F50">
        <v>156364</v>
      </c>
      <c r="G50">
        <v>93</v>
      </c>
      <c r="H50" t="b">
        <v>1</v>
      </c>
      <c r="I50" t="s">
        <v>27</v>
      </c>
      <c r="J50" t="s">
        <v>50</v>
      </c>
      <c r="K50" t="s">
        <v>51</v>
      </c>
      <c r="L50">
        <v>0.14799999999999999</v>
      </c>
      <c r="M50">
        <v>0.60399999999999998</v>
      </c>
      <c r="N50">
        <v>7</v>
      </c>
      <c r="O50">
        <v>-35.031999999999996</v>
      </c>
      <c r="P50">
        <v>1</v>
      </c>
      <c r="Q50">
        <v>5.8799999999999998E-2</v>
      </c>
      <c r="R50">
        <v>0.92100000000000004</v>
      </c>
      <c r="S50">
        <v>0.45300000000000001</v>
      </c>
      <c r="T50">
        <v>0.40500000000000003</v>
      </c>
      <c r="U50">
        <v>1.0000000000000001E-5</v>
      </c>
      <c r="V50">
        <v>106.295</v>
      </c>
      <c r="W50">
        <v>3</v>
      </c>
      <c r="X50" t="str">
        <f t="shared" si="0"/>
        <v>Chill 🛋️</v>
      </c>
      <c r="Y50" t="str">
        <f>IF(SpotifyData2025[[#This Row],[Danceability]] &gt; 0.65, "Club Banger 🪩", "Head Nod 🎧")</f>
        <v>Head Nod 🎧</v>
      </c>
      <c r="AP50" s="3" t="s">
        <v>247</v>
      </c>
      <c r="AQ50" s="6">
        <v>0.64600000000000002</v>
      </c>
      <c r="AR50" s="6">
        <v>0.64500000000000002</v>
      </c>
    </row>
    <row r="51" spans="1:44" x14ac:dyDescent="0.3">
      <c r="A51" t="s">
        <v>126</v>
      </c>
      <c r="B51" t="s">
        <v>127</v>
      </c>
      <c r="C51" t="s">
        <v>48</v>
      </c>
      <c r="D51" t="s">
        <v>49</v>
      </c>
      <c r="E51" s="1">
        <v>45662</v>
      </c>
      <c r="F51">
        <v>183685</v>
      </c>
      <c r="G51">
        <v>97</v>
      </c>
      <c r="H51" t="b">
        <v>0</v>
      </c>
      <c r="I51" t="s">
        <v>27</v>
      </c>
      <c r="J51" t="s">
        <v>50</v>
      </c>
      <c r="K51" t="s">
        <v>51</v>
      </c>
      <c r="L51">
        <v>0.14199999999999999</v>
      </c>
      <c r="M51">
        <v>0.19500000000000001</v>
      </c>
      <c r="N51">
        <v>6</v>
      </c>
      <c r="O51">
        <v>-20.024000000000001</v>
      </c>
      <c r="P51">
        <v>1</v>
      </c>
      <c r="Q51">
        <v>0.13900000000000001</v>
      </c>
      <c r="R51">
        <v>0.26500000000000001</v>
      </c>
      <c r="S51">
        <v>0.995</v>
      </c>
      <c r="T51">
        <v>0.20399999999999999</v>
      </c>
      <c r="U51">
        <v>0.12</v>
      </c>
      <c r="V51">
        <v>137.922</v>
      </c>
      <c r="W51">
        <v>4</v>
      </c>
      <c r="X51" t="str">
        <f t="shared" si="0"/>
        <v>Fast 🏃‍♂️</v>
      </c>
      <c r="Y51" t="str">
        <f>IF(SpotifyData2025[[#This Row],[Danceability]] &gt; 0.65, "Club Banger 🪩", "Head Nod 🎧")</f>
        <v>Head Nod 🎧</v>
      </c>
      <c r="AP51" s="3" t="s">
        <v>142</v>
      </c>
      <c r="AQ51" s="6">
        <v>0.75600000000000001</v>
      </c>
      <c r="AR51" s="6">
        <v>0.66</v>
      </c>
    </row>
    <row r="52" spans="1:44" x14ac:dyDescent="0.3">
      <c r="AP52" s="3" t="s">
        <v>74</v>
      </c>
      <c r="AQ52" s="6">
        <v>0.247</v>
      </c>
      <c r="AR52" s="6">
        <v>0.46700000000000003</v>
      </c>
    </row>
    <row r="53" spans="1:44" x14ac:dyDescent="0.3">
      <c r="AP53" s="3" t="s">
        <v>166</v>
      </c>
      <c r="AQ53" s="6">
        <v>0.66100000000000003</v>
      </c>
      <c r="AR53" s="6">
        <v>0.42899999999999999</v>
      </c>
    </row>
    <row r="54" spans="1:44" x14ac:dyDescent="0.3">
      <c r="AP54" s="3" t="s">
        <v>252</v>
      </c>
      <c r="AQ54" s="6">
        <v>0.59120639999999991</v>
      </c>
      <c r="AR54" s="6">
        <v>0.6140399999999997</v>
      </c>
    </row>
  </sheetData>
  <pageMargins left="0.7" right="0.7" top="0.75" bottom="0.75" header="0.3" footer="0.3"/>
  <pageSetup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5168-A865-4DB4-B0DE-B1E0BC1F59B5}">
  <dimension ref="A3:Q66"/>
  <sheetViews>
    <sheetView showGridLines="0" tabSelected="1" topLeftCell="A3" zoomScale="15" zoomScaleNormal="100" zoomScaleSheetLayoutView="18" workbookViewId="0">
      <selection activeCell="C111" sqref="C111"/>
    </sheetView>
  </sheetViews>
  <sheetFormatPr defaultRowHeight="14.4" x14ac:dyDescent="0.3"/>
  <cols>
    <col min="1" max="1" width="57.77734375" style="4" bestFit="1" customWidth="1"/>
    <col min="2" max="2" width="77.33203125" style="4" bestFit="1" customWidth="1"/>
    <col min="3" max="3" width="37" style="4" bestFit="1" customWidth="1"/>
    <col min="4" max="4" width="28.88671875" style="4" bestFit="1" customWidth="1"/>
    <col min="5" max="5" width="31.88671875" style="4" customWidth="1"/>
    <col min="6" max="6" width="24.6640625" style="4" customWidth="1"/>
    <col min="7" max="7" width="8.88671875" style="4" customWidth="1"/>
    <col min="8" max="8" width="45" style="4" customWidth="1"/>
    <col min="9" max="9" width="154.77734375" style="4" bestFit="1" customWidth="1"/>
    <col min="10" max="10" width="42.6640625" style="4" bestFit="1" customWidth="1"/>
    <col min="11" max="16" width="8.88671875" style="4"/>
    <col min="17" max="17" width="53.5546875" style="4" bestFit="1" customWidth="1"/>
    <col min="18" max="20" width="8.88671875" style="4"/>
    <col min="21" max="21" width="33.77734375" style="4" bestFit="1" customWidth="1"/>
    <col min="22" max="25" width="8.88671875" style="4"/>
    <col min="26" max="26" width="26" style="4" bestFit="1" customWidth="1"/>
    <col min="27" max="27" width="44.5546875" style="4" bestFit="1" customWidth="1"/>
    <col min="28" max="28" width="31.77734375" style="4" bestFit="1" customWidth="1"/>
    <col min="29" max="36" width="8.88671875" style="4"/>
    <col min="37" max="37" width="69.33203125" style="4" bestFit="1" customWidth="1"/>
    <col min="38" max="38" width="31.109375" style="4" bestFit="1" customWidth="1"/>
    <col min="39" max="39" width="24.109375" style="4" bestFit="1" customWidth="1"/>
    <col min="40" max="16384" width="8.88671875" style="4"/>
  </cols>
  <sheetData>
    <row r="3" spans="1:17" ht="52.2" x14ac:dyDescent="0.3">
      <c r="I3" s="7" t="s">
        <v>264</v>
      </c>
    </row>
    <row r="9" spans="1:17" ht="52.2" x14ac:dyDescent="1.1000000000000001">
      <c r="C9" s="8" t="s">
        <v>263</v>
      </c>
      <c r="I9" s="9" t="s">
        <v>258</v>
      </c>
      <c r="Q9" s="10" t="s">
        <v>266</v>
      </c>
    </row>
    <row r="10" spans="1:17" ht="52.2" x14ac:dyDescent="0.3">
      <c r="C10" s="8">
        <f>GETPIVOTDATA("Track Name",Top_Tracks_of_2025_Global!$BA$3)</f>
        <v>50</v>
      </c>
      <c r="I10" s="8">
        <f>GETPIVOTDATA("Average of Danceability",$A$15)</f>
        <v>0.6140399999999997</v>
      </c>
      <c r="Q10" s="11">
        <f>GETPIVOTDATA("Energy",Top_Tracks_of_2025_Global!$BA$7)</f>
        <v>0.59120639999999991</v>
      </c>
    </row>
    <row r="15" spans="1:17" x14ac:dyDescent="0.3">
      <c r="A15" s="5" t="s">
        <v>1</v>
      </c>
      <c r="B15" s="5" t="s">
        <v>3</v>
      </c>
      <c r="C15" s="5" t="s">
        <v>255</v>
      </c>
      <c r="D15" s="5" t="s">
        <v>254</v>
      </c>
    </row>
    <row r="16" spans="1:17" x14ac:dyDescent="0.3">
      <c r="A16" s="5" t="s">
        <v>195</v>
      </c>
      <c r="B16" s="5" t="s">
        <v>196</v>
      </c>
      <c r="C16" s="13">
        <v>0.67900000000000005</v>
      </c>
      <c r="D16" s="13">
        <v>126.01</v>
      </c>
    </row>
    <row r="17" spans="1:4" x14ac:dyDescent="0.3">
      <c r="A17" s="5" t="s">
        <v>115</v>
      </c>
      <c r="B17" s="5" t="s">
        <v>65</v>
      </c>
      <c r="C17" s="13">
        <v>0.69499999999999995</v>
      </c>
      <c r="D17" s="13">
        <v>96.781999999999996</v>
      </c>
    </row>
    <row r="18" spans="1:4" x14ac:dyDescent="0.3">
      <c r="A18" s="5" t="s">
        <v>37</v>
      </c>
      <c r="B18" s="5" t="s">
        <v>39</v>
      </c>
      <c r="C18" s="13">
        <v>0.77700000000000002</v>
      </c>
      <c r="D18" s="13">
        <v>149.02699999999999</v>
      </c>
    </row>
    <row r="19" spans="1:4" x14ac:dyDescent="0.3">
      <c r="A19" s="5" t="s">
        <v>53</v>
      </c>
      <c r="B19" s="5" t="s">
        <v>55</v>
      </c>
      <c r="C19" s="13">
        <v>0.436</v>
      </c>
      <c r="D19" s="13">
        <v>92.855000000000004</v>
      </c>
    </row>
    <row r="20" spans="1:4" x14ac:dyDescent="0.3">
      <c r="A20" s="5" t="s">
        <v>81</v>
      </c>
      <c r="B20" s="5" t="s">
        <v>49</v>
      </c>
      <c r="C20" s="13">
        <v>0.16800000000000001</v>
      </c>
      <c r="D20" s="13">
        <v>119.387</v>
      </c>
    </row>
    <row r="21" spans="1:4" x14ac:dyDescent="0.3">
      <c r="A21" s="5" t="s">
        <v>83</v>
      </c>
      <c r="B21" s="5" t="s">
        <v>85</v>
      </c>
      <c r="C21" s="13">
        <v>0.47199999999999998</v>
      </c>
      <c r="D21" s="13">
        <v>105.029</v>
      </c>
    </row>
    <row r="22" spans="1:4" x14ac:dyDescent="0.3">
      <c r="A22" s="5" t="s">
        <v>31</v>
      </c>
      <c r="B22" s="5" t="s">
        <v>33</v>
      </c>
      <c r="C22" s="13">
        <v>0.747</v>
      </c>
      <c r="D22" s="13">
        <v>104.97799999999999</v>
      </c>
    </row>
    <row r="23" spans="1:4" x14ac:dyDescent="0.3">
      <c r="A23" s="5" t="s">
        <v>242</v>
      </c>
      <c r="B23" s="5" t="s">
        <v>244</v>
      </c>
      <c r="C23" s="13">
        <v>0.746</v>
      </c>
      <c r="D23" s="13">
        <v>97.49</v>
      </c>
    </row>
    <row r="24" spans="1:4" x14ac:dyDescent="0.3">
      <c r="A24" s="5" t="s">
        <v>231</v>
      </c>
      <c r="B24" s="5" t="s">
        <v>233</v>
      </c>
      <c r="C24" s="13">
        <v>0.874</v>
      </c>
      <c r="D24" s="13">
        <v>126.935</v>
      </c>
    </row>
    <row r="25" spans="1:4" x14ac:dyDescent="0.3">
      <c r="A25" s="5" t="s">
        <v>225</v>
      </c>
      <c r="B25" s="5" t="s">
        <v>227</v>
      </c>
      <c r="C25" s="13">
        <v>0.51500000000000001</v>
      </c>
      <c r="D25" s="13">
        <v>91.843999999999994</v>
      </c>
    </row>
    <row r="26" spans="1:4" x14ac:dyDescent="0.3">
      <c r="A26" s="5" t="s">
        <v>24</v>
      </c>
      <c r="B26" s="5" t="s">
        <v>26</v>
      </c>
      <c r="C26" s="13">
        <v>0.51900000000000002</v>
      </c>
      <c r="D26" s="13">
        <v>157.964</v>
      </c>
    </row>
    <row r="27" spans="1:4" x14ac:dyDescent="0.3">
      <c r="A27" s="5" t="s">
        <v>210</v>
      </c>
      <c r="B27" s="5" t="s">
        <v>212</v>
      </c>
      <c r="C27" s="13">
        <v>0.72899999999999998</v>
      </c>
      <c r="D27" s="13">
        <v>111.976</v>
      </c>
    </row>
    <row r="28" spans="1:4" x14ac:dyDescent="0.3">
      <c r="A28" s="5" t="s">
        <v>47</v>
      </c>
      <c r="B28" s="5" t="s">
        <v>49</v>
      </c>
      <c r="C28" s="13">
        <v>0.625</v>
      </c>
      <c r="D28" s="13">
        <v>136.02000000000001</v>
      </c>
    </row>
    <row r="29" spans="1:4" x14ac:dyDescent="0.3">
      <c r="A29" s="5" t="s">
        <v>164</v>
      </c>
      <c r="B29" s="5" t="s">
        <v>49</v>
      </c>
      <c r="C29" s="13">
        <v>0.36</v>
      </c>
      <c r="D29" s="13">
        <v>63.661999999999999</v>
      </c>
    </row>
    <row r="30" spans="1:4" x14ac:dyDescent="0.3">
      <c r="A30" s="5" t="s">
        <v>88</v>
      </c>
      <c r="B30" s="5" t="s">
        <v>90</v>
      </c>
      <c r="C30" s="13">
        <v>0.69899999999999995</v>
      </c>
      <c r="D30" s="13">
        <v>103.96299999999999</v>
      </c>
    </row>
    <row r="31" spans="1:4" x14ac:dyDescent="0.3">
      <c r="A31" s="5" t="s">
        <v>171</v>
      </c>
      <c r="B31" s="5" t="s">
        <v>173</v>
      </c>
      <c r="C31" s="13">
        <v>0.82</v>
      </c>
      <c r="D31" s="13">
        <v>117.401</v>
      </c>
    </row>
    <row r="32" spans="1:4" x14ac:dyDescent="0.3">
      <c r="A32" s="5" t="s">
        <v>58</v>
      </c>
      <c r="B32" s="5" t="s">
        <v>60</v>
      </c>
      <c r="C32" s="13">
        <v>0.65100000000000002</v>
      </c>
      <c r="D32" s="13">
        <v>122.715</v>
      </c>
    </row>
    <row r="33" spans="1:4" x14ac:dyDescent="0.3">
      <c r="A33" s="5" t="s">
        <v>133</v>
      </c>
      <c r="B33" s="5" t="s">
        <v>134</v>
      </c>
      <c r="C33" s="13">
        <v>0.7</v>
      </c>
      <c r="D33" s="13">
        <v>116.712</v>
      </c>
    </row>
    <row r="34" spans="1:4" x14ac:dyDescent="0.3">
      <c r="A34" s="5" t="s">
        <v>152</v>
      </c>
      <c r="B34" s="5" t="s">
        <v>154</v>
      </c>
      <c r="C34" s="13">
        <v>0.46400000000000002</v>
      </c>
      <c r="D34" s="13">
        <v>67.528000000000006</v>
      </c>
    </row>
    <row r="35" spans="1:4" x14ac:dyDescent="0.3">
      <c r="A35" s="5" t="s">
        <v>105</v>
      </c>
      <c r="B35" s="5" t="s">
        <v>107</v>
      </c>
      <c r="C35" s="13">
        <v>0.315</v>
      </c>
      <c r="D35" s="13">
        <v>155.92500000000001</v>
      </c>
    </row>
    <row r="36" spans="1:4" x14ac:dyDescent="0.3">
      <c r="A36" s="5" t="s">
        <v>109</v>
      </c>
      <c r="B36" s="5" t="s">
        <v>111</v>
      </c>
      <c r="C36" s="13">
        <v>0.89400000000000002</v>
      </c>
      <c r="D36" s="13">
        <v>99.039000000000001</v>
      </c>
    </row>
    <row r="37" spans="1:4" x14ac:dyDescent="0.3">
      <c r="A37" s="5" t="s">
        <v>214</v>
      </c>
      <c r="B37" s="5" t="s">
        <v>216</v>
      </c>
      <c r="C37" s="13">
        <v>0.81100000000000005</v>
      </c>
      <c r="D37" s="13">
        <v>130.01900000000001</v>
      </c>
    </row>
    <row r="38" spans="1:4" x14ac:dyDescent="0.3">
      <c r="A38" s="5" t="s">
        <v>129</v>
      </c>
      <c r="B38" s="5" t="s">
        <v>131</v>
      </c>
      <c r="C38" s="13">
        <v>0.56100000000000005</v>
      </c>
      <c r="D38" s="13">
        <v>159.91999999999999</v>
      </c>
    </row>
    <row r="39" spans="1:4" x14ac:dyDescent="0.3">
      <c r="A39" s="5" t="s">
        <v>159</v>
      </c>
      <c r="B39" s="5" t="s">
        <v>161</v>
      </c>
      <c r="C39" s="13">
        <v>0.77900000000000003</v>
      </c>
      <c r="D39" s="13">
        <v>114.001</v>
      </c>
    </row>
    <row r="40" spans="1:4" x14ac:dyDescent="0.3">
      <c r="A40" s="5" t="s">
        <v>63</v>
      </c>
      <c r="B40" s="5" t="s">
        <v>65</v>
      </c>
      <c r="C40" s="13">
        <v>0.70699999999999996</v>
      </c>
      <c r="D40" s="13">
        <v>138.00800000000001</v>
      </c>
    </row>
    <row r="41" spans="1:4" x14ac:dyDescent="0.3">
      <c r="A41" s="5" t="s">
        <v>100</v>
      </c>
      <c r="B41" s="5" t="s">
        <v>102</v>
      </c>
      <c r="C41" s="13">
        <v>0.79800000000000004</v>
      </c>
      <c r="D41" s="13">
        <v>110.991</v>
      </c>
    </row>
    <row r="42" spans="1:4" x14ac:dyDescent="0.3">
      <c r="A42" s="5" t="s">
        <v>189</v>
      </c>
      <c r="B42" s="5" t="s">
        <v>191</v>
      </c>
      <c r="C42" s="13">
        <v>0.70499999999999996</v>
      </c>
      <c r="D42" s="13">
        <v>97.989000000000004</v>
      </c>
    </row>
    <row r="43" spans="1:4" x14ac:dyDescent="0.3">
      <c r="A43" s="5" t="s">
        <v>137</v>
      </c>
      <c r="B43" s="5" t="s">
        <v>138</v>
      </c>
      <c r="C43" s="13">
        <v>0.89800000000000002</v>
      </c>
      <c r="D43" s="13">
        <v>101.06100000000001</v>
      </c>
    </row>
    <row r="44" spans="1:4" x14ac:dyDescent="0.3">
      <c r="A44" s="5" t="s">
        <v>127</v>
      </c>
      <c r="B44" s="5" t="s">
        <v>49</v>
      </c>
      <c r="C44" s="13">
        <v>0.14199999999999999</v>
      </c>
      <c r="D44" s="13">
        <v>137.922</v>
      </c>
    </row>
    <row r="45" spans="1:4" x14ac:dyDescent="0.3">
      <c r="A45" s="5" t="s">
        <v>123</v>
      </c>
      <c r="B45" s="5" t="s">
        <v>125</v>
      </c>
      <c r="C45" s="13">
        <v>0.26400000000000001</v>
      </c>
      <c r="D45" s="13">
        <v>84.828000000000003</v>
      </c>
    </row>
    <row r="46" spans="1:4" x14ac:dyDescent="0.3">
      <c r="A46" s="5" t="s">
        <v>43</v>
      </c>
      <c r="B46" s="5" t="s">
        <v>45</v>
      </c>
      <c r="C46" s="13">
        <v>0.36799999999999999</v>
      </c>
      <c r="D46" s="13">
        <v>168.11500000000001</v>
      </c>
    </row>
    <row r="47" spans="1:4" x14ac:dyDescent="0.3">
      <c r="A47" s="5" t="s">
        <v>184</v>
      </c>
      <c r="B47" s="5" t="s">
        <v>134</v>
      </c>
      <c r="C47" s="13">
        <v>0.61</v>
      </c>
      <c r="D47" s="13">
        <v>106.71899999999999</v>
      </c>
    </row>
    <row r="48" spans="1:4" x14ac:dyDescent="0.3">
      <c r="A48" s="5" t="s">
        <v>236</v>
      </c>
      <c r="B48" s="5" t="s">
        <v>238</v>
      </c>
      <c r="C48" s="13">
        <v>0.83299999999999996</v>
      </c>
      <c r="D48" s="13">
        <v>105.008</v>
      </c>
    </row>
    <row r="49" spans="1:4" x14ac:dyDescent="0.3">
      <c r="A49" s="5" t="s">
        <v>76</v>
      </c>
      <c r="B49" s="5" t="s">
        <v>78</v>
      </c>
      <c r="C49" s="13">
        <v>0.499</v>
      </c>
      <c r="D49" s="13">
        <v>95.075999999999993</v>
      </c>
    </row>
    <row r="50" spans="1:4" x14ac:dyDescent="0.3">
      <c r="A50" s="5" t="s">
        <v>206</v>
      </c>
      <c r="B50" s="5" t="s">
        <v>208</v>
      </c>
      <c r="C50" s="13">
        <v>0.55800000000000005</v>
      </c>
      <c r="D50" s="13">
        <v>78.558000000000007</v>
      </c>
    </row>
    <row r="51" spans="1:4" x14ac:dyDescent="0.3">
      <c r="A51" s="5" t="s">
        <v>178</v>
      </c>
      <c r="B51" s="5" t="s">
        <v>180</v>
      </c>
      <c r="C51" s="13">
        <v>0.91600000000000004</v>
      </c>
      <c r="D51" s="13">
        <v>128.03299999999999</v>
      </c>
    </row>
    <row r="52" spans="1:4" x14ac:dyDescent="0.3">
      <c r="A52" s="5" t="s">
        <v>201</v>
      </c>
      <c r="B52" s="5" t="s">
        <v>203</v>
      </c>
      <c r="C52" s="13">
        <v>0.86099999999999999</v>
      </c>
      <c r="D52" s="13">
        <v>106.97799999999999</v>
      </c>
    </row>
    <row r="53" spans="1:4" x14ac:dyDescent="0.3">
      <c r="A53" s="5" t="s">
        <v>147</v>
      </c>
      <c r="B53" s="5" t="s">
        <v>149</v>
      </c>
      <c r="C53" s="13">
        <v>0.61199999999999999</v>
      </c>
      <c r="D53" s="13">
        <v>124.053</v>
      </c>
    </row>
    <row r="54" spans="1:4" x14ac:dyDescent="0.3">
      <c r="A54" s="5" t="s">
        <v>219</v>
      </c>
      <c r="B54" s="5" t="s">
        <v>90</v>
      </c>
      <c r="C54" s="13">
        <v>0.67400000000000004</v>
      </c>
      <c r="D54" s="13">
        <v>112.964</v>
      </c>
    </row>
    <row r="55" spans="1:4" x14ac:dyDescent="0.3">
      <c r="A55" s="5" t="s">
        <v>69</v>
      </c>
      <c r="B55" s="5" t="s">
        <v>71</v>
      </c>
      <c r="C55" s="13">
        <v>0.55400000000000005</v>
      </c>
      <c r="D55" s="13">
        <v>108.548</v>
      </c>
    </row>
    <row r="56" spans="1:4" x14ac:dyDescent="0.3">
      <c r="A56" s="5" t="s">
        <v>119</v>
      </c>
      <c r="B56" s="5" t="s">
        <v>121</v>
      </c>
      <c r="C56" s="13">
        <v>0.44</v>
      </c>
      <c r="D56" s="13">
        <v>174.12100000000001</v>
      </c>
    </row>
    <row r="57" spans="1:4" x14ac:dyDescent="0.3">
      <c r="A57" s="5" t="s">
        <v>94</v>
      </c>
      <c r="B57" s="5" t="s">
        <v>96</v>
      </c>
      <c r="C57" s="13">
        <v>0.76800000000000002</v>
      </c>
      <c r="D57" s="13">
        <v>119.999</v>
      </c>
    </row>
    <row r="58" spans="1:4" x14ac:dyDescent="0.3">
      <c r="A58" s="5" t="s">
        <v>221</v>
      </c>
      <c r="B58" s="5" t="s">
        <v>222</v>
      </c>
      <c r="C58" s="13">
        <v>0.85499999999999998</v>
      </c>
      <c r="D58" s="13">
        <v>100.036</v>
      </c>
    </row>
    <row r="59" spans="1:4" x14ac:dyDescent="0.3">
      <c r="A59" s="5" t="s">
        <v>187</v>
      </c>
      <c r="B59" s="5" t="s">
        <v>55</v>
      </c>
      <c r="C59" s="13">
        <v>0.64200000000000002</v>
      </c>
      <c r="D59" s="13">
        <v>115.999</v>
      </c>
    </row>
    <row r="60" spans="1:4" x14ac:dyDescent="0.3">
      <c r="A60" s="5" t="s">
        <v>198</v>
      </c>
      <c r="B60" s="5" t="s">
        <v>199</v>
      </c>
      <c r="C60" s="13">
        <v>0.61299999999999999</v>
      </c>
      <c r="D60" s="13">
        <v>101.852</v>
      </c>
    </row>
    <row r="61" spans="1:4" x14ac:dyDescent="0.3">
      <c r="A61" s="5" t="s">
        <v>176</v>
      </c>
      <c r="B61" s="5" t="s">
        <v>49</v>
      </c>
      <c r="C61" s="13">
        <v>0.14799999999999999</v>
      </c>
      <c r="D61" s="13">
        <v>106.295</v>
      </c>
    </row>
    <row r="62" spans="1:4" x14ac:dyDescent="0.3">
      <c r="A62" s="5" t="s">
        <v>247</v>
      </c>
      <c r="B62" s="5" t="s">
        <v>249</v>
      </c>
      <c r="C62" s="13">
        <v>0.64500000000000002</v>
      </c>
      <c r="D62" s="13">
        <v>115.842</v>
      </c>
    </row>
    <row r="63" spans="1:4" x14ac:dyDescent="0.3">
      <c r="A63" s="5" t="s">
        <v>142</v>
      </c>
      <c r="B63" s="5" t="s">
        <v>144</v>
      </c>
      <c r="C63" s="13">
        <v>0.66</v>
      </c>
      <c r="D63" s="13">
        <v>116.03400000000001</v>
      </c>
    </row>
    <row r="64" spans="1:4" x14ac:dyDescent="0.3">
      <c r="A64" s="5" t="s">
        <v>74</v>
      </c>
      <c r="B64" s="5" t="s">
        <v>33</v>
      </c>
      <c r="C64" s="13">
        <v>0.46700000000000003</v>
      </c>
      <c r="D64" s="13">
        <v>148.101</v>
      </c>
    </row>
    <row r="65" spans="1:4" x14ac:dyDescent="0.3">
      <c r="A65" s="5" t="s">
        <v>166</v>
      </c>
      <c r="B65" s="5" t="s">
        <v>168</v>
      </c>
      <c r="C65" s="13">
        <v>0.42899999999999999</v>
      </c>
      <c r="D65" s="13">
        <v>173.37200000000001</v>
      </c>
    </row>
    <row r="66" spans="1:4" x14ac:dyDescent="0.3">
      <c r="A66" s="5" t="s">
        <v>252</v>
      </c>
      <c r="B66" s="5"/>
      <c r="C66" s="13">
        <v>0.6140399999999997</v>
      </c>
      <c r="D66" s="13">
        <v>116.87367999999998</v>
      </c>
    </row>
  </sheetData>
  <conditionalFormatting pivot="1" sqref="C16:C64 C6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Top_Tracks_of_2025_Global</vt:lpstr>
      <vt:lpstr>Summary</vt:lpstr>
      <vt:lpstr>Danceability vs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PC_DK</dc:creator>
  <cp:lastModifiedBy>N.D Aluthgamage</cp:lastModifiedBy>
  <cp:lastPrinted>2026-03-14T14:29:10Z</cp:lastPrinted>
  <dcterms:created xsi:type="dcterms:W3CDTF">2026-03-13T16:26:38Z</dcterms:created>
  <dcterms:modified xsi:type="dcterms:W3CDTF">2026-03-14T14:31:47Z</dcterms:modified>
</cp:coreProperties>
</file>